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2FE63EE8-26DF-491A-B4FA-641E55EFA4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088" i="1" l="1"/>
  <c r="AL4088" i="1" s="1"/>
  <c r="W4058" i="1"/>
  <c r="AL4058" i="1" s="1"/>
  <c r="W3868" i="1"/>
  <c r="W3673" i="1"/>
  <c r="W3672" i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W2374" i="1"/>
  <c r="W2285" i="1"/>
  <c r="W1997" i="1"/>
  <c r="W1364" i="1"/>
  <c r="W1209" i="1"/>
  <c r="AL1209" i="1" s="1"/>
  <c r="W610" i="1"/>
  <c r="W411" i="1"/>
  <c r="W378" i="1"/>
  <c r="W352" i="1"/>
  <c r="W135" i="1"/>
  <c r="W84" i="1"/>
  <c r="AL84" i="1" s="1"/>
  <c r="W4087" i="1"/>
  <c r="W3867" i="1"/>
  <c r="W3671" i="1"/>
  <c r="W3670" i="1"/>
  <c r="W3391" i="1"/>
  <c r="W3390" i="1"/>
  <c r="W3157" i="1"/>
  <c r="AL3157" i="1" s="1"/>
  <c r="W3156" i="1"/>
  <c r="AL3156" i="1" s="1"/>
  <c r="W2892" i="1"/>
  <c r="W2815" i="1"/>
  <c r="X2815" i="1" s="1"/>
  <c r="W2793" i="1"/>
  <c r="AK2793" i="1" s="1"/>
  <c r="W2690" i="1"/>
  <c r="AL2690" i="1" s="1"/>
  <c r="W2625" i="1"/>
  <c r="W2472" i="1"/>
  <c r="W2373" i="1"/>
  <c r="W2284" i="1"/>
  <c r="X2284" i="1" s="1"/>
  <c r="W2232" i="1"/>
  <c r="W1363" i="1"/>
  <c r="W1208" i="1"/>
  <c r="X1208" i="1" s="1"/>
  <c r="W950" i="1"/>
  <c r="X950" i="1" s="1"/>
  <c r="W941" i="1"/>
  <c r="W785" i="1"/>
  <c r="W351" i="1"/>
  <c r="W283" i="1"/>
  <c r="AK283" i="1" s="1"/>
  <c r="W163" i="1"/>
  <c r="W109" i="1"/>
  <c r="W83" i="1"/>
  <c r="W4099" i="1"/>
  <c r="W3695" i="1"/>
  <c r="W3431" i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550" i="1"/>
  <c r="AK550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814" i="1"/>
  <c r="X2293" i="1"/>
  <c r="X2292" i="1"/>
  <c r="X2288" i="1"/>
  <c r="X2287" i="1"/>
  <c r="X2286" i="1"/>
  <c r="X2285" i="1"/>
  <c r="X2283" i="1"/>
  <c r="X2282" i="1"/>
  <c r="X2281" i="1"/>
  <c r="X946" i="1"/>
  <c r="X944" i="1"/>
  <c r="X943" i="1"/>
  <c r="X942" i="1"/>
  <c r="X941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K3393" i="1"/>
  <c r="AJ3393" i="1"/>
  <c r="AF3393" i="1" s="1"/>
  <c r="X3393" i="1"/>
  <c r="AL3392" i="1"/>
  <c r="AK3392" i="1"/>
  <c r="AJ3392" i="1"/>
  <c r="AF3392" i="1" s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L3155" i="1"/>
  <c r="AK3155" i="1"/>
  <c r="AJ3155" i="1"/>
  <c r="AF3155" i="1" s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J2930" i="1"/>
  <c r="AF2930" i="1" s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L2815" i="1"/>
  <c r="AK2815" i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J2794" i="1"/>
  <c r="AF2794" i="1" s="1"/>
  <c r="AL2793" i="1"/>
  <c r="AJ2793" i="1"/>
  <c r="AF2793" i="1" s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J2690" i="1"/>
  <c r="AF2690" i="1" s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L2285" i="1"/>
  <c r="AK2285" i="1"/>
  <c r="AJ2285" i="1"/>
  <c r="AF2285" i="1" s="1"/>
  <c r="AL2284" i="1"/>
  <c r="AK2284" i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K1209" i="1"/>
  <c r="AJ1209" i="1"/>
  <c r="AF1209" i="1" s="1"/>
  <c r="X1209" i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L941" i="1"/>
  <c r="AK941" i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J580" i="1"/>
  <c r="AF580" i="1" s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J283" i="1"/>
  <c r="AF283" i="1" s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J84" i="1"/>
  <c r="AF84" i="1" s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283" i="1" l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<sst xmlns="http://schemas.openxmlformats.org/spreadsheetml/2006/main" count="57834" uniqueCount="3480">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</sst>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3">
    <xf numFmtId="0" fontId="0" fillId="0" borderId="0"/>
    <xf numFmtId="0" fontId="6" fillId="0" borderId="0" applyNumberFormat="0" applyFill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9" fillId="0" borderId="0" applyNumberFormat="0" applyFill="0" applyBorder="0" applyAlignment="0" applyProtection="0"/>
    <xf numFmtId="0" fontId="10" fillId="4" borderId="0" applyNumberFormat="0" applyBorder="0" applyAlignment="0" applyProtection="0"/>
    <xf numFmtId="0" fontId="11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5" applyNumberFormat="0" applyAlignment="0" applyProtection="0"/>
    <xf numFmtId="0" fontId="14" fillId="8" borderId="6" applyNumberFormat="0" applyAlignment="0" applyProtection="0"/>
    <xf numFmtId="0" fontId="15" fillId="8" borderId="5" applyNumberFormat="0" applyAlignment="0" applyProtection="0"/>
    <xf numFmtId="0" fontId="16" fillId="0" borderId="7" applyNumberFormat="0" applyFill="0" applyAlignment="0" applyProtection="0"/>
    <xf numFmtId="0" fontId="17" fillId="9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0" applyNumberFormat="0" applyFill="0" applyAlignment="0" applyProtection="0"/>
    <xf numFmtId="0" fontId="21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21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21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21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21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21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0" borderId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0">
    <xf numFmtId="0" fontId="0" fillId="0" borderId="0" xfId="0"/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0" fontId="4" fillId="0" borderId="1" xfId="0" applyFont="1" applyBorder="1" applyAlignment="1">
      <alignment horizontal="left" vertical="top"/>
    </xf>
    <xf numFmtId="10" fontId="4" fillId="0" borderId="1" xfId="0" applyNumberFormat="1" applyFont="1" applyBorder="1" applyAlignment="1">
      <alignment horizontal="center" vertical="top"/>
    </xf>
    <xf numFmtId="10" fontId="5" fillId="0" borderId="0" xfId="0" applyNumberFormat="1" applyFont="1"/>
    <xf numFmtId="0" fontId="5" fillId="0" borderId="0" xfId="0" applyFont="1" applyAlignment="1">
      <alignment horizontal="left"/>
    </xf>
    <xf numFmtId="3" fontId="5" fillId="0" borderId="0" xfId="0" applyNumberFormat="1" applyFont="1"/>
    <xf numFmtId="1" fontId="5" fillId="0" borderId="0" xfId="0" applyNumberFormat="1" applyFont="1"/>
    <xf numFmtId="2" fontId="5" fillId="0" borderId="0" xfId="0" applyNumberFormat="1" applyFont="1"/>
    <xf numFmtId="4" fontId="5" fillId="0" borderId="0" xfId="0" applyNumberFormat="1" applyFont="1"/>
    <xf numFmtId="1" fontId="4" fillId="0" borderId="1" xfId="0" applyNumberFormat="1" applyFont="1" applyBorder="1" applyAlignment="1">
      <alignment horizontal="center" vertical="top"/>
    </xf>
    <xf numFmtId="166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0" fontId="5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0" fontId="5" fillId="2" borderId="0" xfId="0" applyFont="1" applyFill="1"/>
    <xf numFmtId="10" fontId="5" fillId="2" borderId="0" xfId="0" applyNumberFormat="1" applyFont="1" applyFill="1"/>
    <xf numFmtId="10" fontId="5" fillId="3" borderId="0" xfId="0" applyNumberFormat="1" applyFont="1" applyFill="1"/>
    <xf numFmtId="10" fontId="5" fillId="0" borderId="0" xfId="0" quotePrefix="1" applyNumberFormat="1" applyFont="1"/>
    <xf numFmtId="164" fontId="5" fillId="0" borderId="0" xfId="41" applyNumberFormat="1" applyFont="1"/>
    <xf numFmtId="165" fontId="5" fillId="0" borderId="0" xfId="41" applyNumberFormat="1" applyFont="1"/>
    <xf numFmtId="0" fontId="5" fillId="0" borderId="0" xfId="41" applyFont="1"/>
    <xf numFmtId="0" fontId="5" fillId="0" borderId="0" xfId="43" applyFont="1"/>
    <xf numFmtId="164" fontId="5" fillId="0" borderId="0" xfId="43" applyNumberFormat="1" applyFont="1"/>
    <xf numFmtId="165" fontId="5" fillId="0" borderId="0" xfId="43" applyNumberFormat="1" applyFont="1"/>
    <xf numFmtId="165" fontId="5" fillId="0" borderId="0" xfId="63" applyNumberFormat="1" applyFont="1"/>
    <xf numFmtId="164" fontId="5" fillId="0" borderId="0" xfId="63" applyNumberFormat="1" applyFont="1"/>
    <xf numFmtId="0" fontId="5" fillId="0" borderId="0" xfId="63" applyNumberFormat="1" applyFont="1"/>
  </cellXfs>
  <cellStyles count="8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85"/>
  <sheetViews>
    <sheetView tabSelected="1" topLeftCell="Q1" workbookViewId="0">
      <pane ySplit="1" topLeftCell="A462" activePane="bottomLeft" state="frozen"/>
      <selection pane="bottomLeft" activeCell="R487" sqref="R487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>AJ2</f>
        <v>0</v>
      </c>
      <c r="AG2" s="2">
        <v>14.535</v>
      </c>
      <c r="AH2" s="2">
        <v>25.2</v>
      </c>
      <c r="AI2" s="5">
        <v>0</v>
      </c>
      <c r="AJ2" s="2">
        <f>AI2*T2</f>
        <v>0</v>
      </c>
      <c r="AK2" s="2">
        <f>T2-W2</f>
        <v>10.664999999999999</v>
      </c>
      <c r="AL2" s="5">
        <f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>(T3-W3)/T3</f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>AJ3</f>
        <v>0</v>
      </c>
      <c r="AG3" s="2">
        <v>6.6266999999999996</v>
      </c>
      <c r="AH3" s="2">
        <v>12</v>
      </c>
      <c r="AJ3" s="2">
        <f>AI3*T3</f>
        <v>0</v>
      </c>
      <c r="AK3" s="2">
        <f>T3-W3</f>
        <v>27.239800000000002</v>
      </c>
      <c r="AL3" s="5">
        <f>(T3-W3)/T3</f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>(T4-W4)/T4</f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>AJ4</f>
        <v>0</v>
      </c>
      <c r="AG4" s="2">
        <v>10.2346</v>
      </c>
      <c r="AH4" s="2">
        <v>18</v>
      </c>
      <c r="AJ4" s="2">
        <f>AI4*T4</f>
        <v>0</v>
      </c>
      <c r="AK4" s="2">
        <f>T4-W4</f>
        <v>1.5600000000000005</v>
      </c>
      <c r="AL4" s="5">
        <f>(T4-W4)/T4</f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>(T5-W5)/T5</f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>AJ5</f>
        <v>0</v>
      </c>
      <c r="AG5" s="2">
        <v>5.2972999999999999</v>
      </c>
      <c r="AH5" s="2">
        <v>10.8</v>
      </c>
      <c r="AJ5" s="2">
        <f>AI5*T5</f>
        <v>0</v>
      </c>
      <c r="AK5" s="2">
        <f>T5-W5</f>
        <v>3.8226999999999993</v>
      </c>
      <c r="AL5" s="5">
        <f>(T5-W5)/T5</f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>(T6-W6)/T6</f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>AJ6</f>
        <v>0</v>
      </c>
      <c r="AG6" s="2">
        <v>10.6</v>
      </c>
      <c r="AH6" s="2">
        <v>18</v>
      </c>
      <c r="AJ6" s="2">
        <f>AI6*T6</f>
        <v>0</v>
      </c>
      <c r="AK6" s="2">
        <f>T6-W6</f>
        <v>105.20000000000002</v>
      </c>
      <c r="AL6" s="5">
        <f>(T6-W6)/T6</f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>(T7-W7)/T7</f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>AJ7</f>
        <v>0</v>
      </c>
      <c r="AG7" s="2">
        <v>9.14</v>
      </c>
      <c r="AH7" s="2">
        <v>16</v>
      </c>
      <c r="AJ7" s="2">
        <f>AI7*T7</f>
        <v>0</v>
      </c>
      <c r="AK7" s="2">
        <f>T7-W7</f>
        <v>3.8600000000000012</v>
      </c>
      <c r="AL7" s="5">
        <f>(T7-W7)/T7</f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>(T8-W8)/T8</f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>AJ8</f>
        <v>0</v>
      </c>
      <c r="AG8" s="2">
        <v>8.1999999999999993</v>
      </c>
      <c r="AH8" s="2">
        <v>13</v>
      </c>
      <c r="AJ8" s="2">
        <f>AI8*T8</f>
        <v>0</v>
      </c>
      <c r="AK8" s="2">
        <f>T8-W8</f>
        <v>98.399999999999977</v>
      </c>
      <c r="AL8" s="5">
        <f>(T8-W8)/T8</f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>(T9-W9)/T9</f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>AJ9</f>
        <v>0</v>
      </c>
      <c r="AG9" s="2">
        <v>0.85609999999999997</v>
      </c>
      <c r="AH9" s="2">
        <v>1.8</v>
      </c>
      <c r="AJ9" s="2">
        <f>AI9*T9</f>
        <v>0</v>
      </c>
      <c r="AK9" s="2">
        <f>T9-W9</f>
        <v>18.878</v>
      </c>
      <c r="AL9" s="5">
        <f>(T9-W9)/T9</f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>(T10-W10)/T10</f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>AJ10</f>
        <v>0</v>
      </c>
      <c r="AG10" s="2">
        <v>15.020300000000001</v>
      </c>
      <c r="AH10" s="2">
        <v>27.6</v>
      </c>
      <c r="AJ10" s="2">
        <f>AI10*T10</f>
        <v>0</v>
      </c>
      <c r="AK10" s="2">
        <f>T10-W10</f>
        <v>7.9796999999999993</v>
      </c>
      <c r="AL10" s="5">
        <f>(T10-W10)/T10</f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>(T11-W11)/T11</f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>AJ11</f>
        <v>0</v>
      </c>
      <c r="AG11" s="2">
        <v>5.4720000000000004</v>
      </c>
      <c r="AJ11" s="2">
        <f>AI11*T11</f>
        <v>0</v>
      </c>
      <c r="AK11" s="2">
        <f>T11-W11</f>
        <v>2.7359999999999989</v>
      </c>
      <c r="AL11" s="5">
        <f>(T11-W11)/T11</f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>(T12-W12)/T12</f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>AJ12</f>
        <v>0</v>
      </c>
      <c r="AG12" s="2">
        <v>117.453</v>
      </c>
      <c r="AH12" s="2">
        <v>220</v>
      </c>
      <c r="AJ12" s="2">
        <f>AI12*T12</f>
        <v>0</v>
      </c>
      <c r="AK12" s="2">
        <f>T12-W12</f>
        <v>184.79399999999998</v>
      </c>
      <c r="AL12" s="5">
        <f>(T12-W12)/T12</f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>(T13-W13)/T13</f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>AJ13</f>
        <v>0</v>
      </c>
      <c r="AG13" s="2">
        <v>111.98</v>
      </c>
      <c r="AH13" s="2">
        <v>210</v>
      </c>
      <c r="AJ13" s="2">
        <f>AI13*T13</f>
        <v>0</v>
      </c>
      <c r="AK13" s="2">
        <f>T13-W13</f>
        <v>90.02</v>
      </c>
      <c r="AL13" s="5">
        <f>(T13-W13)/T13</f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>(T14-W14)/T14</f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>AJ14</f>
        <v>0</v>
      </c>
      <c r="AG14" s="2">
        <f>198.32+10.37</f>
        <v>208.69</v>
      </c>
      <c r="AH14" s="2">
        <v>340</v>
      </c>
      <c r="AJ14" s="2">
        <f>AI14*T14</f>
        <v>0</v>
      </c>
      <c r="AK14" s="2">
        <f>T14-W14</f>
        <v>17.860000000000014</v>
      </c>
      <c r="AL14" s="5">
        <f>(T14-W14)/T14</f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>(T15-W15)/T15</f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>AJ15</f>
        <v>0</v>
      </c>
      <c r="AG15" s="2">
        <f>0.3995</f>
        <v>0.39950000000000002</v>
      </c>
      <c r="AH15" s="2">
        <v>0.72</v>
      </c>
      <c r="AJ15" s="2">
        <f>AI15*T15</f>
        <v>0</v>
      </c>
      <c r="AK15" s="2">
        <f>T15-W15</f>
        <v>8.0124999999999993</v>
      </c>
      <c r="AL15" s="5">
        <f>(T15-W15)/T15</f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>(T16-W16)/T16</f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>AJ16</f>
        <v>0</v>
      </c>
      <c r="AG16" s="2">
        <v>3.5966999999999998</v>
      </c>
      <c r="AH16" s="2">
        <v>7.2</v>
      </c>
      <c r="AJ16" s="2">
        <f>AI16*T16</f>
        <v>0</v>
      </c>
      <c r="AK16" s="2">
        <f>T16-W16</f>
        <v>3.8133000000000004</v>
      </c>
      <c r="AL16" s="5">
        <f>(T16-W16)/T16</f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>(T17-W17)/T17</f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>AJ17</f>
        <v>0</v>
      </c>
      <c r="AG17" s="2">
        <v>2.4750000000000001</v>
      </c>
      <c r="AH17" s="2">
        <v>3.6</v>
      </c>
      <c r="AJ17" s="2">
        <f>AI17*T17</f>
        <v>0</v>
      </c>
      <c r="AK17" s="2">
        <f>T17-W17</f>
        <v>6.9</v>
      </c>
      <c r="AL17" s="5">
        <f>(T17-W17)/T17</f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>(T18-W18)/T18</f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>AJ18</f>
        <v>0</v>
      </c>
      <c r="AG18" s="2">
        <v>1.1399999999999999</v>
      </c>
      <c r="AH18" s="2">
        <v>1.1399999999999999</v>
      </c>
      <c r="AJ18" s="2">
        <f>AI18*T18</f>
        <v>0</v>
      </c>
      <c r="AK18" s="2">
        <f>T18-W18</f>
        <v>0</v>
      </c>
      <c r="AL18" s="5">
        <f>(T18-W18)/T18</f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>(T19-W19)/T19</f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>AJ19</f>
        <v>0</v>
      </c>
      <c r="AG19" s="2">
        <f>1873.3+111.74</f>
        <v>1985.04</v>
      </c>
      <c r="AJ19" s="2">
        <f>AI19*T19</f>
        <v>0</v>
      </c>
      <c r="AK19" s="2">
        <f>T19-W19</f>
        <v>435.92000000000007</v>
      </c>
      <c r="AL19" s="5">
        <f>(T19-W19)/T19</f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>(T20-W20)/T20</f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>AJ20</f>
        <v>0</v>
      </c>
      <c r="AG20" s="2">
        <v>3.35</v>
      </c>
      <c r="AJ20" s="2">
        <f>AI20*T20</f>
        <v>0</v>
      </c>
      <c r="AK20" s="2">
        <f>T20-W20</f>
        <v>4.0399999999999991</v>
      </c>
      <c r="AL20" s="5">
        <f>(T20-W20)/T20</f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>(T21-W21)/T21</f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>AJ21</f>
        <v>0</v>
      </c>
      <c r="AG21" s="2">
        <v>6.66</v>
      </c>
      <c r="AJ21" s="2">
        <f>AI21*T21</f>
        <v>0</v>
      </c>
      <c r="AK21" s="2">
        <f>T21-W21</f>
        <v>8.0299999999999994</v>
      </c>
      <c r="AL21" s="5">
        <f>(T21-W21)/T21</f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>(T22-W22)/T22</f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>AJ22</f>
        <v>0</v>
      </c>
      <c r="AG22" s="2">
        <v>21.94</v>
      </c>
      <c r="AJ22" s="2">
        <f>AI22*T22</f>
        <v>0</v>
      </c>
      <c r="AK22" s="2">
        <f>T22-W22</f>
        <v>52.859999999999992</v>
      </c>
      <c r="AL22" s="5">
        <f>(T22-W22)/T22</f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>(T23-W23)/T23</f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>AJ23</f>
        <v>0</v>
      </c>
      <c r="AG23" s="2">
        <v>3.35</v>
      </c>
      <c r="AJ23" s="2">
        <f>AI23*T23</f>
        <v>0</v>
      </c>
      <c r="AK23" s="2">
        <f>T23-W23</f>
        <v>9.4700000000000024</v>
      </c>
      <c r="AL23" s="5">
        <f>(T23-W23)/T23</f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>(T24-W24)/T24</f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>AJ24</f>
        <v>0</v>
      </c>
      <c r="AG24" s="2">
        <v>3.3595999999999999</v>
      </c>
      <c r="AJ24" s="2">
        <f>AI24*T24</f>
        <v>0</v>
      </c>
      <c r="AK24" s="2">
        <f>T24-W24</f>
        <v>3.7504000000000004</v>
      </c>
      <c r="AL24" s="5">
        <f>(T24-W24)/T24</f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>(T25-W25)/T25</f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>AJ25</f>
        <v>0</v>
      </c>
      <c r="AJ25" s="2">
        <f>AI25*T25</f>
        <v>0</v>
      </c>
      <c r="AK25" s="2">
        <f>T25-W25</f>
        <v>11.07</v>
      </c>
      <c r="AL25" s="5">
        <f>(T25-W25)/T25</f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>AJ26</f>
        <v>0</v>
      </c>
      <c r="AJ26" s="2">
        <f>AI26*T26</f>
        <v>0</v>
      </c>
      <c r="AK26" s="2">
        <f>T26-W26</f>
        <v>0</v>
      </c>
      <c r="AL26" s="5" t="e">
        <f>(T26-W26)/T26</f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>AJ27</f>
        <v>0</v>
      </c>
      <c r="AG27" s="2">
        <f>1329.3279+17.6</f>
        <v>1346.9278999999999</v>
      </c>
      <c r="AJ27" s="2">
        <f>AI27*T27</f>
        <v>0</v>
      </c>
      <c r="AK27" s="2">
        <f>T27-W27</f>
        <v>2728.7120999999997</v>
      </c>
      <c r="AL27" s="5">
        <f>(T27-W27)/T27</f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>AJ28</f>
        <v>0</v>
      </c>
      <c r="AJ28" s="2">
        <f>AI28*T28</f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>(T29-W29)/T29</f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>AJ29</f>
        <v>0</v>
      </c>
      <c r="AG29" s="2">
        <v>117.453</v>
      </c>
      <c r="AH29" s="2">
        <v>220</v>
      </c>
      <c r="AJ29" s="2">
        <f>AI29*T29</f>
        <v>0</v>
      </c>
      <c r="AK29" s="2">
        <f>T29-W29</f>
        <v>82.546999999999997</v>
      </c>
      <c r="AL29" s="5">
        <f>(T29-W29)/T29</f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>(T30-W30)/T30</f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>AJ30</f>
        <v>0</v>
      </c>
      <c r="AJ30" s="2">
        <f>AI30*T30</f>
        <v>0</v>
      </c>
      <c r="AK30" s="2">
        <f>T30-W30</f>
        <v>0</v>
      </c>
      <c r="AL30" s="5">
        <f>(T30-W30)/T30</f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>(T31-W31)/T31</f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>AJ31</f>
        <v>0</v>
      </c>
      <c r="AJ31" s="2">
        <f>AI31*T31</f>
        <v>0</v>
      </c>
      <c r="AK31" s="2">
        <f>T31-W31</f>
        <v>202.0300000000002</v>
      </c>
      <c r="AL31" s="5">
        <f>(T31-W31)/T31</f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>(T32-W32)/T32</f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>AJ32</f>
        <v>0</v>
      </c>
      <c r="AJ32" s="2">
        <f>AI32*T32</f>
        <v>0</v>
      </c>
      <c r="AK32" s="2">
        <f>T32-W32</f>
        <v>2.5600000000000005</v>
      </c>
      <c r="AL32" s="5">
        <f>(T32-W32)/T32</f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>(T33-W33)/T33</f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>AJ33</f>
        <v>0</v>
      </c>
      <c r="AG33" s="2">
        <v>9.3000000000000007</v>
      </c>
      <c r="AH33" s="2">
        <v>21</v>
      </c>
      <c r="AJ33" s="2">
        <f>AI33*T33</f>
        <v>0</v>
      </c>
      <c r="AK33" s="2">
        <f>T33-W33</f>
        <v>19.850000000000001</v>
      </c>
      <c r="AL33" s="5">
        <f>(T33-W33)/T33</f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>(T34-W34)/T34</f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>AJ34</f>
        <v>0</v>
      </c>
      <c r="AG34" s="2">
        <v>6.6266999999999996</v>
      </c>
      <c r="AH34" s="2">
        <v>12</v>
      </c>
      <c r="AJ34" s="2">
        <f>AI34*T34</f>
        <v>0</v>
      </c>
      <c r="AK34" s="2">
        <f>T34-W34</f>
        <v>10.746600000000001</v>
      </c>
      <c r="AL34" s="5">
        <f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>(T35-W35)/T35</f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>AJ35</f>
        <v>0</v>
      </c>
      <c r="AG35" s="2">
        <v>10.2346</v>
      </c>
      <c r="AH35" s="2">
        <v>18</v>
      </c>
      <c r="AJ35" s="2">
        <f>AI35*T35</f>
        <v>0</v>
      </c>
      <c r="AK35" s="2">
        <f>T35-W35</f>
        <v>2.1999999999999993</v>
      </c>
      <c r="AL35" s="5">
        <f>(T35-W35)/T35</f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>(T36-W36)/T36</f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>AJ36</f>
        <v>0</v>
      </c>
      <c r="AG36" s="2">
        <v>3.7357999999999998</v>
      </c>
      <c r="AH36" s="2">
        <v>9</v>
      </c>
      <c r="AJ36" s="2">
        <f>AI36*T36</f>
        <v>0</v>
      </c>
      <c r="AK36" s="2">
        <f>T36-W36</f>
        <v>8.1283999999999992</v>
      </c>
      <c r="AL36" s="5">
        <f>(T36-W36)/T36</f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>(T37-W37)/T37</f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>AJ37</f>
        <v>0</v>
      </c>
      <c r="AG37" s="2">
        <v>5.2972999999999999</v>
      </c>
      <c r="AH37" s="2">
        <v>10.8</v>
      </c>
      <c r="AJ37" s="2">
        <f>AI37*T37</f>
        <v>0</v>
      </c>
      <c r="AK37" s="2">
        <f>T37-W37</f>
        <v>11.908100000000001</v>
      </c>
      <c r="AL37" s="5">
        <f>(T37-W37)/T37</f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>(T38-W38)/T38</f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>AJ38</f>
        <v>0</v>
      </c>
      <c r="AG38" s="2">
        <v>8.1999999999999993</v>
      </c>
      <c r="AH38" s="2">
        <v>13</v>
      </c>
      <c r="AJ38" s="2">
        <f>AI38*T38</f>
        <v>0</v>
      </c>
      <c r="AK38" s="2">
        <f>T38-W38</f>
        <v>36.59999999999998</v>
      </c>
      <c r="AL38" s="5">
        <f>(T38-W38)/T38</f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>(T39-W39)/T39</f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>AJ39</f>
        <v>0</v>
      </c>
      <c r="AJ39" s="2">
        <f>AI39*T39</f>
        <v>0</v>
      </c>
      <c r="AK39" s="2">
        <f>T39-W39</f>
        <v>40.5</v>
      </c>
      <c r="AL39" s="5">
        <f>(T39-W39)/T39</f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>(T40-W40)/T40</f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>AJ40</f>
        <v>0</v>
      </c>
      <c r="AG40" s="2">
        <v>7.9611999999999998</v>
      </c>
      <c r="AH40" s="2">
        <v>14.4</v>
      </c>
      <c r="AJ40" s="2">
        <f>AI40*T40</f>
        <v>0</v>
      </c>
      <c r="AK40" s="2">
        <f>T40-W40</f>
        <v>16.467600000000001</v>
      </c>
      <c r="AL40" s="5">
        <f>(T40-W40)/T40</f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>(T41-W41)/T41</f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>AJ41</f>
        <v>0</v>
      </c>
      <c r="AJ41" s="2">
        <f>AI41*T41</f>
        <v>0</v>
      </c>
      <c r="AK41" s="2">
        <f>T41-W41</f>
        <v>8.25</v>
      </c>
      <c r="AL41" s="5">
        <f>(T41-W41)/T41</f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>(T42-W42)/T42</f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>AJ42</f>
        <v>0</v>
      </c>
      <c r="AG42" s="2">
        <v>117.453</v>
      </c>
      <c r="AH42" s="2">
        <v>220</v>
      </c>
      <c r="AJ42" s="2">
        <f>AI42*T42</f>
        <v>0</v>
      </c>
      <c r="AK42" s="2">
        <f>T42-W42</f>
        <v>168.79399999999998</v>
      </c>
      <c r="AL42" s="5">
        <f>(T42-W42)/T42</f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>(T43-W43)/T43</f>
        <v>1</v>
      </c>
      <c r="Z43" s="2" t="s">
        <v>170</v>
      </c>
      <c r="AA43" s="2" t="s">
        <v>170</v>
      </c>
      <c r="AF43" s="2">
        <f>AJ43</f>
        <v>0</v>
      </c>
      <c r="AJ43" s="2">
        <f>AI43*T43</f>
        <v>0</v>
      </c>
      <c r="AK43" s="2">
        <f>T43-W43</f>
        <v>8</v>
      </c>
      <c r="AL43" s="5">
        <f>(T43-W43)/T43</f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>(T44-W44)/T44</f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>AJ44</f>
        <v>0</v>
      </c>
      <c r="AJ44" s="2">
        <f>AI44*T44</f>
        <v>0</v>
      </c>
      <c r="AK44" s="2">
        <f>T44-W44</f>
        <v>0</v>
      </c>
      <c r="AL44" s="5">
        <f>(T44-W44)/T44</f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>(T45-W45)/T45</f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>AJ45</f>
        <v>0</v>
      </c>
      <c r="AJ45" s="2">
        <f>AI45*T45</f>
        <v>0</v>
      </c>
      <c r="AK45" s="2">
        <f>T45-W45</f>
        <v>272.55</v>
      </c>
      <c r="AL45" s="5">
        <f>(T45-W45)/T45</f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>(T46-W46)/T46</f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>AJ46</f>
        <v>0</v>
      </c>
      <c r="AJ46" s="2">
        <f>AI46*T46</f>
        <v>0</v>
      </c>
      <c r="AK46" s="2">
        <f>T46-W46</f>
        <v>352.72999999999996</v>
      </c>
      <c r="AL46" s="5">
        <f>(T46-W46)/T46</f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>(T47-W47)/T47</f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>AJ47</f>
        <v>0</v>
      </c>
      <c r="AJ47" s="2">
        <f>AI47*T47</f>
        <v>0</v>
      </c>
      <c r="AK47" s="2">
        <f>T47-W47</f>
        <v>352.72999999999996</v>
      </c>
      <c r="AL47" s="5">
        <f>(T47-W47)/T47</f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>(T48-W48)/T48</f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>AJ48</f>
        <v>0</v>
      </c>
      <c r="AJ48" s="2">
        <f>AI48*T48</f>
        <v>0</v>
      </c>
      <c r="AK48" s="2">
        <f>T48-W48</f>
        <v>61.8</v>
      </c>
      <c r="AL48" s="5">
        <f>(T48-W48)/T48</f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>(T49-W49)/T49</f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>AJ49</f>
        <v>0</v>
      </c>
      <c r="AJ49" s="2">
        <f>AI49*T49</f>
        <v>0</v>
      </c>
      <c r="AK49" s="2">
        <f>T49-W49</f>
        <v>50</v>
      </c>
      <c r="AL49" s="5">
        <f>(T49-W49)/T49</f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>(T50-W50)/T50</f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>AJ50</f>
        <v>0</v>
      </c>
      <c r="AG50" s="2">
        <v>187.99</v>
      </c>
      <c r="AJ50" s="2">
        <f>AI50*T50</f>
        <v>0</v>
      </c>
      <c r="AK50" s="2">
        <f>T50-W50</f>
        <v>157.01</v>
      </c>
      <c r="AL50" s="5">
        <f>(T50-W50)/T50</f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>(T51-W51)/T51</f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>AJ51</f>
        <v>0</v>
      </c>
      <c r="AJ51" s="2">
        <f>AI51*T51</f>
        <v>0</v>
      </c>
      <c r="AK51" s="2">
        <f>T51-W51</f>
        <v>0</v>
      </c>
      <c r="AL51" s="5">
        <f>(T51-W51)/T51</f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>(T52-W52)/T52</f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>AJ52</f>
        <v>0</v>
      </c>
      <c r="AG52" s="2">
        <v>117.453</v>
      </c>
      <c r="AH52" s="2">
        <v>220</v>
      </c>
      <c r="AJ52" s="2">
        <f>AI52*T52</f>
        <v>0</v>
      </c>
      <c r="AK52" s="2">
        <f>T52-W52</f>
        <v>67.546999999999997</v>
      </c>
      <c r="AL52" s="5">
        <f>(T52-W52)/T52</f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>(T53-W53)/T53</f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>AJ53</f>
        <v>0</v>
      </c>
      <c r="AG53" s="2">
        <v>152.85</v>
      </c>
      <c r="AH53" s="2">
        <v>260</v>
      </c>
      <c r="AJ53" s="2">
        <f>AI53*T53</f>
        <v>0</v>
      </c>
      <c r="AK53" s="2">
        <f>T53-W53</f>
        <v>107.15</v>
      </c>
      <c r="AL53" s="5">
        <f>(T53-W53)/T53</f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>(T54-W54)/T54</f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>AJ54</f>
        <v>0</v>
      </c>
      <c r="AJ54" s="2">
        <f>AI54*T54</f>
        <v>0</v>
      </c>
      <c r="AK54" s="2">
        <f>T54-W54</f>
        <v>0</v>
      </c>
      <c r="AL54" s="5">
        <f>(T54-W54)/T54</f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>(T55-W55)/T55</f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>AJ55</f>
        <v>0</v>
      </c>
      <c r="AG55" s="2">
        <v>14.535</v>
      </c>
      <c r="AH55" s="2">
        <v>25.2</v>
      </c>
      <c r="AJ55" s="2">
        <f>AI55*T55</f>
        <v>0</v>
      </c>
      <c r="AK55" s="2">
        <f>T55-W55</f>
        <v>10.664999999999999</v>
      </c>
      <c r="AL55" s="5">
        <f>(T55-W55)/T55</f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>(T56-W56)/T56</f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>AJ56</f>
        <v>0</v>
      </c>
      <c r="AG56" s="2">
        <v>6.6266999999999996</v>
      </c>
      <c r="AH56" s="2">
        <v>12</v>
      </c>
      <c r="AJ56" s="2">
        <f>AI56*T56</f>
        <v>0</v>
      </c>
      <c r="AK56" s="2">
        <f>T56-W56</f>
        <v>10.119900000000001</v>
      </c>
      <c r="AL56" s="5">
        <f>(T56-W56)/T56</f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>(T57-W57)/T57</f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>AJ57</f>
        <v>0</v>
      </c>
      <c r="AG57" s="2">
        <v>10.6</v>
      </c>
      <c r="AH57" s="2">
        <v>18</v>
      </c>
      <c r="AJ57" s="2">
        <f>AI57*T57</f>
        <v>0</v>
      </c>
      <c r="AK57" s="2">
        <f>T57-W57</f>
        <v>23.6</v>
      </c>
      <c r="AL57" s="5">
        <f>(T57-W57)/T57</f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>(T58-W58)/T58</f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>AJ58</f>
        <v>0</v>
      </c>
      <c r="AG58" s="2">
        <v>8.1999999999999993</v>
      </c>
      <c r="AH58" s="2">
        <v>13</v>
      </c>
      <c r="AJ58" s="2">
        <f>AI58*T58</f>
        <v>0</v>
      </c>
      <c r="AK58" s="2">
        <f>T58-W58</f>
        <v>36.399999999999991</v>
      </c>
      <c r="AL58" s="5">
        <f>(T58-W58)/T58</f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>(T59-W59)/T59</f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>AJ59</f>
        <v>0</v>
      </c>
      <c r="AG59" s="2">
        <v>1.8320000000000001</v>
      </c>
      <c r="AH59" s="2">
        <v>2.4</v>
      </c>
      <c r="AJ59" s="2">
        <f>AI59*T59</f>
        <v>0</v>
      </c>
      <c r="AK59" s="2">
        <f>T59-W59</f>
        <v>1.1359999999999997</v>
      </c>
      <c r="AL59" s="5">
        <f>(T59-W59)/T59</f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>(T60-W60)/T60</f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>AJ60</f>
        <v>0</v>
      </c>
      <c r="AG60" s="2">
        <v>291.58999999999997</v>
      </c>
      <c r="AH60" s="2">
        <v>450</v>
      </c>
      <c r="AJ60" s="2">
        <f>AI60*T60</f>
        <v>0</v>
      </c>
      <c r="AK60" s="2">
        <f>T60-W60</f>
        <v>268.41000000000003</v>
      </c>
      <c r="AL60" s="5">
        <f>(T60-W60)/T60</f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>(T61-W61)/T61</f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>AJ61</f>
        <v>0</v>
      </c>
      <c r="AJ61" s="2">
        <f>AI61*T61</f>
        <v>0</v>
      </c>
      <c r="AK61" s="2">
        <f>T61-W61</f>
        <v>0</v>
      </c>
      <c r="AL61" s="5">
        <f>(T61-W61)/T61</f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>(T62-W62)/T62</f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>AJ62</f>
        <v>0</v>
      </c>
      <c r="AJ62" s="2">
        <f>AI62*T62</f>
        <v>0</v>
      </c>
      <c r="AK62" s="2">
        <f>T62-W62</f>
        <v>178.43</v>
      </c>
      <c r="AL62" s="5">
        <f>(T62-W62)/T62</f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>(T63-W63)/T63</f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>AJ63</f>
        <v>0</v>
      </c>
      <c r="AG63" s="2">
        <v>6.6266999999999996</v>
      </c>
      <c r="AH63" s="2">
        <v>12</v>
      </c>
      <c r="AJ63" s="2">
        <f>AI63*T63</f>
        <v>0</v>
      </c>
      <c r="AK63" s="2">
        <f>T63-W63</f>
        <v>7.1465999999999994</v>
      </c>
      <c r="AL63" s="5">
        <f>(T63-W63)/T63</f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>(T64-W64)/T64</f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>AJ64</f>
        <v>0</v>
      </c>
      <c r="AG64" s="2">
        <v>10.2346</v>
      </c>
      <c r="AH64" s="2">
        <v>18</v>
      </c>
      <c r="AJ64" s="2">
        <f>AI64*T64</f>
        <v>0</v>
      </c>
      <c r="AK64" s="2">
        <f>T64-W64</f>
        <v>-0.12000000000000099</v>
      </c>
      <c r="AL64" s="5">
        <f>(T64-W64)/T64</f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>(T65-W65)/T65</f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>AJ65</f>
        <v>0</v>
      </c>
      <c r="AJ65" s="2">
        <f>AI65*T65</f>
        <v>0</v>
      </c>
      <c r="AK65" s="2">
        <f>T65-W65</f>
        <v>7.5091999999999999</v>
      </c>
      <c r="AL65" s="5">
        <f>(T65-W65)/T65</f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>(T66-W66)/T66</f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>AJ66</f>
        <v>0</v>
      </c>
      <c r="AJ66" s="2">
        <f>AI66*T66</f>
        <v>0</v>
      </c>
      <c r="AK66" s="2">
        <f>T66-W66</f>
        <v>6.7700000000000014</v>
      </c>
      <c r="AL66" s="5">
        <f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>(T67-W67)/T67</f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>AJ67</f>
        <v>0</v>
      </c>
      <c r="AJ67" s="2">
        <f>AI67*T67</f>
        <v>0</v>
      </c>
      <c r="AK67" s="2">
        <f>T67-W67</f>
        <v>12.14</v>
      </c>
      <c r="AL67" s="5">
        <f>(T67-W67)/T67</f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>(T68-W68)/T68</f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>AJ68</f>
        <v>0</v>
      </c>
      <c r="AG68" s="2">
        <v>3.7357999999999998</v>
      </c>
      <c r="AH68" s="2">
        <v>9</v>
      </c>
      <c r="AJ68" s="2">
        <f>AI68*T68</f>
        <v>0</v>
      </c>
      <c r="AK68" s="2">
        <f>T68-W68</f>
        <v>5.7884000000000002</v>
      </c>
      <c r="AL68" s="5">
        <f>(T68-W68)/T68</f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>(T69-W69)/T69</f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>AJ69</f>
        <v>0</v>
      </c>
      <c r="AG69" s="2">
        <v>5.2972999999999999</v>
      </c>
      <c r="AH69" s="2">
        <v>10.8</v>
      </c>
      <c r="AJ69" s="2">
        <f>AI69*T69</f>
        <v>0</v>
      </c>
      <c r="AK69" s="2">
        <f>T69-W69</f>
        <v>5.7254000000000005</v>
      </c>
      <c r="AL69" s="5">
        <f>(T69-W69)/T69</f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>(T70-W70)/T70</f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>AJ70</f>
        <v>0</v>
      </c>
      <c r="AJ70" s="2">
        <f>AI70*T70</f>
        <v>0</v>
      </c>
      <c r="AK70" s="2">
        <f>T70-W70</f>
        <v>3.8150000000000004</v>
      </c>
      <c r="AL70" s="5">
        <f>(T70-W70)/T70</f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>(T71-W71)/T71</f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>AJ71</f>
        <v>0</v>
      </c>
      <c r="AJ71" s="2">
        <f>AI71*T71</f>
        <v>0</v>
      </c>
      <c r="AK71" s="2">
        <f>T71-W71</f>
        <v>4.754999999999999</v>
      </c>
      <c r="AL71" s="5">
        <f>(T71-W71)/T71</f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>(T72-W72)/T72</f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>AJ72</f>
        <v>0</v>
      </c>
      <c r="AJ72" s="2">
        <f>AI72*T72</f>
        <v>0</v>
      </c>
      <c r="AK72" s="2">
        <f>T72-W72</f>
        <v>5.406600000000001</v>
      </c>
      <c r="AL72" s="5">
        <f>(T72-W72)/T72</f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>(T73-W73)/T73</f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>AJ73</f>
        <v>0</v>
      </c>
      <c r="AJ73" s="2">
        <f>AI73*T73</f>
        <v>0</v>
      </c>
      <c r="AK73" s="2">
        <f>T73-W73</f>
        <v>6.0549999999999997</v>
      </c>
      <c r="AL73" s="5">
        <f>(T73-W73)/T73</f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>(T74-W74)/T74</f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>AJ74</f>
        <v>0</v>
      </c>
      <c r="AJ74" s="2">
        <f>AI74*T74</f>
        <v>0</v>
      </c>
      <c r="AK74" s="2">
        <f>T74-W74</f>
        <v>22.95</v>
      </c>
      <c r="AL74" s="5">
        <f>(T74-W74)/T74</f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>(T75-W75)/T75</f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>AJ75</f>
        <v>0</v>
      </c>
      <c r="AJ75" s="2">
        <f>AI75*T75</f>
        <v>0</v>
      </c>
      <c r="AK75" s="2">
        <f>T75-W75</f>
        <v>4.1999999999999993</v>
      </c>
      <c r="AL75" s="5">
        <f>(T75-W75)/T75</f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>(T76-W76)/T76</f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>AJ76</f>
        <v>0</v>
      </c>
      <c r="AJ76" s="2">
        <f>AI76*T76</f>
        <v>0</v>
      </c>
      <c r="AK76" s="2">
        <f>T76-W76</f>
        <v>4.3299999999999983</v>
      </c>
      <c r="AL76" s="5">
        <f>(T76-W76)/T76</f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>(T77-W77)/T77</f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>AJ77</f>
        <v>0</v>
      </c>
      <c r="AJ77" s="2">
        <f>AI77*T77</f>
        <v>0</v>
      </c>
      <c r="AK77" s="2">
        <f>T77-W77</f>
        <v>16.32</v>
      </c>
      <c r="AL77" s="5">
        <f>(T77-W77)/T77</f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>(T78-W78)/T78</f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>AJ78</f>
        <v>0</v>
      </c>
      <c r="AJ78" s="2">
        <f>AI78*T78</f>
        <v>0</v>
      </c>
      <c r="AK78" s="2">
        <f>T78-W78</f>
        <v>10.199999999999999</v>
      </c>
      <c r="AL78" s="5">
        <f>(T78-W78)/T78</f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>(T79-W79)/T79</f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>AJ79</f>
        <v>0</v>
      </c>
      <c r="AG79" s="2">
        <v>5.9066999999999998</v>
      </c>
      <c r="AH79" s="2">
        <v>12.6</v>
      </c>
      <c r="AJ79" s="2">
        <f>AI79*T79</f>
        <v>0</v>
      </c>
      <c r="AK79" s="2">
        <f>T79-W79</f>
        <v>4.2932999999999995</v>
      </c>
      <c r="AL79" s="5">
        <f>(T79-W79)/T79</f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>(T80-W80)/T80</f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>AJ80</f>
        <v>0</v>
      </c>
      <c r="AG80" s="2">
        <v>7.2217000000000002</v>
      </c>
      <c r="AH80" s="2">
        <v>14.4</v>
      </c>
      <c r="AJ80" s="2">
        <f>AI80*T80</f>
        <v>0</v>
      </c>
      <c r="AK80" s="2">
        <f>T80-W80</f>
        <v>3.9983000000000004</v>
      </c>
      <c r="AL80" s="5">
        <f>(T80-W80)/T80</f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>(T81-W81)/T81</f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>AJ81</f>
        <v>0</v>
      </c>
      <c r="AJ81" s="2">
        <f>AI81*T81</f>
        <v>0</v>
      </c>
      <c r="AK81" s="2">
        <f>T81-W81</f>
        <v>4.6950000000000003</v>
      </c>
      <c r="AL81" s="5">
        <f>(T81-W81)/T81</f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>(T82-W82)/T82</f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>AJ82</f>
        <v>0</v>
      </c>
      <c r="AJ82" s="2">
        <f>AI82*T82</f>
        <v>0</v>
      </c>
      <c r="AK82" s="2">
        <f>T82-W82</f>
        <v>16.829999999999998</v>
      </c>
      <c r="AL82" s="5">
        <f>(T82-W82)/T82</f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>(T83-W83)/T83</f>
        <v>0.34280882352941167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>AJ83</f>
        <v>0</v>
      </c>
      <c r="AJ83" s="2">
        <f>AI83*T83</f>
        <v>0</v>
      </c>
      <c r="AK83" s="2">
        <f>T83-W83</f>
        <v>6.9932999999999979</v>
      </c>
      <c r="AL83" s="5">
        <f>(T83-W83)/T83</f>
        <v>0.34280882352941167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>(T84-W84)/T84</f>
        <v>0.33721813725490191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>AJ84</f>
        <v>0</v>
      </c>
      <c r="AJ84" s="2">
        <f>AI84*T84</f>
        <v>0</v>
      </c>
      <c r="AK84" s="2">
        <f>T84-W84</f>
        <v>8.2550999999999988</v>
      </c>
      <c r="AL84" s="5">
        <f>(T84-W84)/T84</f>
        <v>0.33721813725490191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>(T85-W85)/T85</f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>AJ85</f>
        <v>0</v>
      </c>
      <c r="AJ85" s="2">
        <f>AI85*T85</f>
        <v>0</v>
      </c>
      <c r="AK85" s="2">
        <f>T85-W85</f>
        <v>14.28</v>
      </c>
      <c r="AL85" s="5">
        <f>(T85-W85)/T85</f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>(T86-W86)/T86</f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>AJ86</f>
        <v>0</v>
      </c>
      <c r="AJ86" s="2">
        <f>AI86*T86</f>
        <v>0</v>
      </c>
      <c r="AK86" s="2">
        <f>T86-W86</f>
        <v>16.32</v>
      </c>
      <c r="AL86" s="5">
        <f>(T86-W86)/T86</f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>(T87-W87)/T87</f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>AJ87</f>
        <v>0</v>
      </c>
      <c r="AJ87" s="2">
        <f>AI87*T87</f>
        <v>0</v>
      </c>
      <c r="AK87" s="2">
        <f>T87-W87</f>
        <v>7.18</v>
      </c>
      <c r="AL87" s="5">
        <f>(T87-W87)/T87</f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>(T88-W88)/T88</f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>AJ88</f>
        <v>0</v>
      </c>
      <c r="AG88" s="2">
        <v>10.6</v>
      </c>
      <c r="AH88" s="2">
        <v>18</v>
      </c>
      <c r="AJ88" s="2">
        <f>AI88*T88</f>
        <v>0</v>
      </c>
      <c r="AK88" s="2">
        <f>T88-W88</f>
        <v>6</v>
      </c>
      <c r="AL88" s="5">
        <f>(T88-W88)/T88</f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>(T89-W89)/T89</f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>AJ89</f>
        <v>0</v>
      </c>
      <c r="AJ89" s="2">
        <f>AI89*T89</f>
        <v>0</v>
      </c>
      <c r="AK89" s="2">
        <f>T89-W89</f>
        <v>30.154199999999999</v>
      </c>
      <c r="AL89" s="5">
        <f>(T89-W89)/T89</f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>(T90-W90)/T90</f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>AJ90</f>
        <v>0</v>
      </c>
      <c r="AJ90" s="2">
        <f>AI90*T90</f>
        <v>0</v>
      </c>
      <c r="AK90" s="2">
        <f>T90-W90</f>
        <v>6.8579999999999988</v>
      </c>
      <c r="AL90" s="5">
        <f>(T90-W90)/T90</f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>(T91-W91)/T91</f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>AJ91</f>
        <v>0</v>
      </c>
      <c r="AG91" s="2">
        <v>9.14</v>
      </c>
      <c r="AH91" s="2">
        <v>16</v>
      </c>
      <c r="AJ91" s="2">
        <f>AI91*T91</f>
        <v>0</v>
      </c>
      <c r="AK91" s="2">
        <f>T91-W91</f>
        <v>4.4600000000000009</v>
      </c>
      <c r="AL91" s="5">
        <f>(T91-W91)/T91</f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>(T92-W92)/T92</f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>AJ92</f>
        <v>0</v>
      </c>
      <c r="AG92" s="2">
        <v>8.1999999999999993</v>
      </c>
      <c r="AH92" s="2">
        <v>13</v>
      </c>
      <c r="AJ92" s="2">
        <f>AI92*T92</f>
        <v>0</v>
      </c>
      <c r="AK92" s="2">
        <f>T92-W92</f>
        <v>2.8499999999999996</v>
      </c>
      <c r="AL92" s="5">
        <f>(T92-W92)/T92</f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>(T93-W93)/T93</f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>AJ93</f>
        <v>0</v>
      </c>
      <c r="AJ93" s="2">
        <f>AI93*T93</f>
        <v>0</v>
      </c>
      <c r="AK93" s="2">
        <f>T93-W93</f>
        <v>4.4600000000000009</v>
      </c>
      <c r="AL93" s="5">
        <f>(T93-W93)/T93</f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>(T94-W94)/T94</f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>AJ94</f>
        <v>0</v>
      </c>
      <c r="AJ94" s="2">
        <f>AI94*T94</f>
        <v>0</v>
      </c>
      <c r="AK94" s="2">
        <f>T94-W94</f>
        <v>3.1399999999999997</v>
      </c>
      <c r="AL94" s="5">
        <f>(T94-W94)/T94</f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>(T95-W95)/T95</f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>AJ95</f>
        <v>0</v>
      </c>
      <c r="AJ95" s="2">
        <f>AI95*T95</f>
        <v>0</v>
      </c>
      <c r="AK95" s="2">
        <f>T95-W95</f>
        <v>17.850000000000001</v>
      </c>
      <c r="AL95" s="5">
        <f>(T95-W95)/T95</f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>(T96-W96)/T96</f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>AJ96</f>
        <v>0</v>
      </c>
      <c r="AJ96" s="2">
        <f>AI96*T96</f>
        <v>0</v>
      </c>
      <c r="AK96" s="2">
        <f>T96-W96</f>
        <v>9.3999999999999986</v>
      </c>
      <c r="AL96" s="5">
        <f>(T96-W96)/T96</f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>(T97-W97)/T97</f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>AJ97</f>
        <v>0</v>
      </c>
      <c r="AG97" s="2">
        <v>15.020300000000001</v>
      </c>
      <c r="AH97" s="2">
        <v>27.6</v>
      </c>
      <c r="AJ97" s="2">
        <f>AI97*T97</f>
        <v>0</v>
      </c>
      <c r="AK97" s="2">
        <f>T97-W97</f>
        <v>5.6594000000000015</v>
      </c>
      <c r="AL97" s="5">
        <f>(T97-W97)/T97</f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>(T98-W98)/T98</f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>AJ98</f>
        <v>0</v>
      </c>
      <c r="AG98" s="2">
        <v>8.3145000000000007</v>
      </c>
      <c r="AH98" s="2">
        <v>15</v>
      </c>
      <c r="AJ98" s="2">
        <f>AI98*T98</f>
        <v>0</v>
      </c>
      <c r="AK98" s="2">
        <f>T98-W98</f>
        <v>8.8709999999999987</v>
      </c>
      <c r="AL98" s="5">
        <f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>(T99-W99)/T99</f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>AJ99</f>
        <v>0</v>
      </c>
      <c r="AJ99" s="2">
        <f>AI99*T99</f>
        <v>0</v>
      </c>
      <c r="AK99" s="2">
        <f>T99-W99</f>
        <v>20000</v>
      </c>
      <c r="AL99" s="5">
        <f>(T99-W99)/T99</f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>(T100-W100)/T100</f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>AJ100</f>
        <v>0</v>
      </c>
      <c r="AJ100" s="2">
        <f>AI100*T100</f>
        <v>0</v>
      </c>
      <c r="AK100" s="2">
        <f>T100-W100</f>
        <v>7.26</v>
      </c>
      <c r="AL100" s="5">
        <f>(T100-W100)/T100</f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>(T101-W101)/T101</f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>AJ101</f>
        <v>0</v>
      </c>
      <c r="AJ101" s="2">
        <f>AI101*T101</f>
        <v>0</v>
      </c>
      <c r="AK101" s="2">
        <f>T101-W101</f>
        <v>1.6646000000000001</v>
      </c>
      <c r="AL101" s="5">
        <f>(T101-W101)/T101</f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>(T102-W102)/T102</f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>AJ102</f>
        <v>0</v>
      </c>
      <c r="AJ102" s="2">
        <f>AI102*T102</f>
        <v>0</v>
      </c>
      <c r="AK102" s="2">
        <f>T102-W102</f>
        <v>1.8099999999999996</v>
      </c>
      <c r="AL102" s="5">
        <f>(T102-W102)/T102</f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>(T103-W103)/T103</f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>AJ103</f>
        <v>0</v>
      </c>
      <c r="AJ103" s="2">
        <f>AI103*T103</f>
        <v>0</v>
      </c>
      <c r="AK103" s="2">
        <f>T103-W103</f>
        <v>2.0133000000000005</v>
      </c>
      <c r="AL103" s="5">
        <f>(T103-W103)/T103</f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>(T104-W104)/T104</f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>AJ104</f>
        <v>0</v>
      </c>
      <c r="AJ104" s="2">
        <f>AI104*T104</f>
        <v>0</v>
      </c>
      <c r="AK104" s="2">
        <f>T104-W104</f>
        <v>14.7</v>
      </c>
      <c r="AL104" s="5">
        <f>(T104-W104)/T104</f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>(T105-W105)/T105</f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>AJ105</f>
        <v>0</v>
      </c>
      <c r="AJ105" s="2">
        <f>AI105*T105</f>
        <v>0</v>
      </c>
      <c r="AK105" s="2">
        <f>T105-W105</f>
        <v>2.1599999999999997</v>
      </c>
      <c r="AL105" s="5">
        <f>(T105-W105)/T105</f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>(T106-W106)/T106</f>
        <v>0.50880392156862742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>AJ106</f>
        <v>0</v>
      </c>
      <c r="AJ106" s="2">
        <f>AI106*T106</f>
        <v>0</v>
      </c>
      <c r="AK106" s="2">
        <f>T106-W106</f>
        <v>2.5948999999999995</v>
      </c>
      <c r="AL106" s="5">
        <f>(T106-W106)/T106</f>
        <v>0.50880392156862742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>(T107-W107)/T107</f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>AJ107</f>
        <v>0</v>
      </c>
      <c r="AG107" s="2">
        <v>101.5</v>
      </c>
      <c r="AH107" s="2">
        <v>145</v>
      </c>
      <c r="AJ107" s="2">
        <f>AI107*T107</f>
        <v>0</v>
      </c>
      <c r="AK107" s="2">
        <f>T107-W107</f>
        <v>43.5</v>
      </c>
      <c r="AL107" s="5">
        <f>(T107-W107)/T107</f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>(T108-W108)/T108</f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>AJ108</f>
        <v>0</v>
      </c>
      <c r="AG108" s="2">
        <v>5.9066999999999998</v>
      </c>
      <c r="AH108" s="2">
        <v>12.6</v>
      </c>
      <c r="AJ108" s="2">
        <f>AI108*T108</f>
        <v>0</v>
      </c>
      <c r="AK108" s="2">
        <f>T108-W108</f>
        <v>6.0933000000000002</v>
      </c>
      <c r="AL108" s="5">
        <f>(T108-W108)/T108</f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>(T109-W109)/T109</f>
        <v>0.44138749999999999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>AJ109</f>
        <v>0</v>
      </c>
      <c r="AJ109" s="2">
        <f>AI109*T109</f>
        <v>0</v>
      </c>
      <c r="AK109" s="2">
        <f>T109-W109</f>
        <v>10.593299999999999</v>
      </c>
      <c r="AL109" s="5">
        <f>(T109-W109)/T109</f>
        <v>0.44138749999999999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>(T110-W110)/T110</f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>AJ110</f>
        <v>0</v>
      </c>
      <c r="AJ110" s="2">
        <f>AI110*T110</f>
        <v>0</v>
      </c>
      <c r="AK110" s="2">
        <f>T110-W110</f>
        <v>22.2</v>
      </c>
      <c r="AL110" s="5">
        <f>(T110-W110)/T110</f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>(T111-W111)/T111</f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>AJ111</f>
        <v>0</v>
      </c>
      <c r="AG111" s="2">
        <v>10.6</v>
      </c>
      <c r="AH111" s="2">
        <v>18</v>
      </c>
      <c r="AJ111" s="2">
        <f>AI111*T111</f>
        <v>0</v>
      </c>
      <c r="AK111" s="2">
        <f>T111-W111</f>
        <v>29.6</v>
      </c>
      <c r="AL111" s="5">
        <f>(T111-W111)/T111</f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>(T112-W112)/T112</f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>AJ112</f>
        <v>0</v>
      </c>
      <c r="AG112" s="2">
        <v>8.1999999999999993</v>
      </c>
      <c r="AH112" s="2">
        <v>13</v>
      </c>
      <c r="AJ112" s="2">
        <f>AI112*T112</f>
        <v>0</v>
      </c>
      <c r="AK112" s="2">
        <f>T112-W112</f>
        <v>4.7999999999999989</v>
      </c>
      <c r="AL112" s="5">
        <f>(T112-W112)/T112</f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>(T113-W113)/T113</f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>AJ113</f>
        <v>0</v>
      </c>
      <c r="AJ113" s="2">
        <f>AI113*T113</f>
        <v>0</v>
      </c>
      <c r="AK113" s="2">
        <f>T113-W113</f>
        <v>36</v>
      </c>
      <c r="AL113" s="5">
        <f>(T113-W113)/T113</f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>(T114-W114)/T114</f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>AJ114</f>
        <v>0</v>
      </c>
      <c r="AJ114" s="2">
        <f>AI114*T114</f>
        <v>0</v>
      </c>
      <c r="AK114" s="2">
        <f>T114-W114</f>
        <v>50</v>
      </c>
      <c r="AL114" s="5">
        <f>(T114-W114)/T114</f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>(T115-W115)/T115</f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>AJ115</f>
        <v>0</v>
      </c>
      <c r="AG115" s="2">
        <f>4131.6+144.38</f>
        <v>4275.9800000000005</v>
      </c>
      <c r="AJ115" s="2">
        <f>AI115*T115</f>
        <v>0</v>
      </c>
      <c r="AK115" s="2">
        <f>T115-W115</f>
        <v>724.02000000000044</v>
      </c>
      <c r="AL115" s="5">
        <f>(T115-W115)/T115</f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>(T116-W116)/T116</f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>AJ116</f>
        <v>0</v>
      </c>
      <c r="AG116" s="2">
        <v>7.9611999999999998</v>
      </c>
      <c r="AH116" s="2">
        <v>14.4</v>
      </c>
      <c r="AJ116" s="2">
        <f>AI116*T116</f>
        <v>0</v>
      </c>
      <c r="AK116" s="2">
        <f>T116-W116</f>
        <v>7.0388000000000002</v>
      </c>
      <c r="AL116" s="5">
        <f>(T116-W116)/T116</f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>(T117-W117)/T117</f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>AJ117</f>
        <v>0</v>
      </c>
      <c r="AG117" s="2">
        <v>386</v>
      </c>
      <c r="AJ117" s="2">
        <f>AI117*T117</f>
        <v>0</v>
      </c>
      <c r="AK117" s="2">
        <f>T117-W117</f>
        <v>274.66999999999996</v>
      </c>
      <c r="AL117" s="5">
        <f>(T117-W117)/T117</f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>(T118-W118)/T118</f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>AJ118</f>
        <v>0</v>
      </c>
      <c r="AJ118" s="2">
        <f>AI118*T118</f>
        <v>0</v>
      </c>
      <c r="AK118" s="2">
        <f>T118-W118</f>
        <v>42</v>
      </c>
      <c r="AL118" s="5">
        <f>(T118-W118)/T118</f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>(T119-W119)/T119</f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>AJ119</f>
        <v>0</v>
      </c>
      <c r="AG119" s="2">
        <v>121.46</v>
      </c>
      <c r="AH119" s="2">
        <v>210</v>
      </c>
      <c r="AJ119" s="2">
        <f>AI119*T119</f>
        <v>0</v>
      </c>
      <c r="AK119" s="2">
        <f>T119-W119</f>
        <v>68.540000000000006</v>
      </c>
      <c r="AL119" s="5">
        <f>(T119-W119)/T119</f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>(T120-W120)/T120</f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>AJ120</f>
        <v>0</v>
      </c>
      <c r="AG120" s="2">
        <v>1.1399999999999999</v>
      </c>
      <c r="AH120" s="2">
        <v>1.1399999999999999</v>
      </c>
      <c r="AJ120" s="2">
        <f>AI120*T120</f>
        <v>0</v>
      </c>
      <c r="AK120" s="2">
        <f>T120-W120</f>
        <v>0</v>
      </c>
      <c r="AL120" s="5">
        <f>(T120-W120)/T120</f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>(T121-W121)/T121</f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>AJ121</f>
        <v>0</v>
      </c>
      <c r="AJ121" s="2">
        <f>AI121*T121</f>
        <v>0</v>
      </c>
      <c r="AK121" s="2">
        <f>T121-W121</f>
        <v>1121.52</v>
      </c>
      <c r="AL121" s="5">
        <f>(T121-W121)/T121</f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>(T122-W122)/T122</f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>AJ122</f>
        <v>0</v>
      </c>
      <c r="AG122" s="2">
        <v>119.33</v>
      </c>
      <c r="AH122" s="2">
        <v>220</v>
      </c>
      <c r="AJ122" s="2">
        <f>AI122*T122</f>
        <v>0</v>
      </c>
      <c r="AK122" s="2">
        <f>T122-W122</f>
        <v>92.27</v>
      </c>
      <c r="AL122" s="5">
        <f>(T122-W122)/T122</f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>(T123-W123)/T123</f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>AJ123</f>
        <v>0</v>
      </c>
      <c r="AJ123" s="2">
        <f>AI123*T123</f>
        <v>0</v>
      </c>
      <c r="AK123" s="2">
        <f>T123-W123</f>
        <v>0</v>
      </c>
      <c r="AL123" s="5">
        <f>(T123-W123)/T123</f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>(T124-W124)/T124</f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>AJ124</f>
        <v>0</v>
      </c>
      <c r="AG124" s="2">
        <v>601</v>
      </c>
      <c r="AJ124" s="2">
        <f>AI124*T124</f>
        <v>0</v>
      </c>
      <c r="AK124" s="2">
        <f>T124-W124</f>
        <v>642.61999999999989</v>
      </c>
      <c r="AL124" s="5">
        <f>(T124-W124)/T124</f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>(T125-W125)/T125</f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>AJ125</f>
        <v>0</v>
      </c>
      <c r="AJ125" s="2">
        <f>AI125*T125</f>
        <v>0</v>
      </c>
      <c r="AK125" s="2">
        <f>T125-W125</f>
        <v>103.2</v>
      </c>
      <c r="AL125" s="5">
        <f>(T125-W125)/T125</f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>(T126-W126)/T126</f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>AJ126</f>
        <v>0</v>
      </c>
      <c r="AJ126" s="2">
        <f>AI126*T126</f>
        <v>0</v>
      </c>
      <c r="AK126" s="2">
        <f>T126-W126</f>
        <v>50</v>
      </c>
      <c r="AL126" s="5">
        <f>(T126-W126)/T126</f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>(T127-W127)/T127</f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>AJ127</f>
        <v>0</v>
      </c>
      <c r="AG127" s="2">
        <v>69.75</v>
      </c>
      <c r="AJ127" s="2">
        <f>AI127*T127</f>
        <v>0</v>
      </c>
      <c r="AK127" s="2">
        <f>T127-W127</f>
        <v>23.25</v>
      </c>
      <c r="AL127" s="5">
        <f>(T127-W127)/T127</f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>(T128-W128)/T128</f>
        <v>1</v>
      </c>
      <c r="Z128" s="2" t="s">
        <v>118</v>
      </c>
      <c r="AA128" s="2" t="s">
        <v>318</v>
      </c>
      <c r="AF128" s="2">
        <f>AJ128</f>
        <v>0</v>
      </c>
      <c r="AJ128" s="2">
        <f>AI128*T128</f>
        <v>0</v>
      </c>
      <c r="AK128" s="2">
        <f>T128-W128</f>
        <v>291</v>
      </c>
      <c r="AL128" s="5">
        <f>(T128-W128)/T128</f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>(T129-W129)/T129</f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>AJ129</f>
        <v>0</v>
      </c>
      <c r="AG129" s="2">
        <v>117.453</v>
      </c>
      <c r="AH129" s="2">
        <v>220</v>
      </c>
      <c r="AI129" s="5">
        <v>0</v>
      </c>
      <c r="AJ129" s="2">
        <f>AI129*T129</f>
        <v>0</v>
      </c>
      <c r="AK129" s="2">
        <f>T129-W129</f>
        <v>66.546999999999997</v>
      </c>
      <c r="AL129" s="5">
        <f>(T129-W129)/T129</f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>(T130-W130)/T130</f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>AJ130</f>
        <v>0</v>
      </c>
      <c r="AJ130" s="2">
        <f>AI130*T130</f>
        <v>0</v>
      </c>
      <c r="AK130" s="2">
        <f>T130-W130</f>
        <v>0</v>
      </c>
      <c r="AL130" s="5">
        <f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>(T131-W131)/T131</f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>AJ131</f>
        <v>0</v>
      </c>
      <c r="AG131" s="2">
        <v>110.68</v>
      </c>
      <c r="AH131" s="2">
        <v>210</v>
      </c>
      <c r="AJ131" s="2">
        <f>AI131*T131</f>
        <v>0</v>
      </c>
      <c r="AK131" s="2">
        <f>T131-W131</f>
        <v>77.919999999999987</v>
      </c>
      <c r="AL131" s="5">
        <f>(T131-W131)/T131</f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>(T132-W132)/T132</f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>AJ132</f>
        <v>0</v>
      </c>
      <c r="AG132" s="2">
        <v>1.1399999999999999</v>
      </c>
      <c r="AH132" s="2">
        <v>1.1399999999999999</v>
      </c>
      <c r="AJ132" s="2">
        <f>AI132*T132</f>
        <v>0</v>
      </c>
      <c r="AK132" s="2">
        <f>T132-W132</f>
        <v>0</v>
      </c>
      <c r="AL132" s="5">
        <f>(T132-W132)/T132</f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>(T133-W133)/T133</f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>AJ133</f>
        <v>0</v>
      </c>
      <c r="AG133" s="2">
        <v>101.30500000000001</v>
      </c>
      <c r="AH133" s="2">
        <v>190</v>
      </c>
      <c r="AJ133" s="2">
        <f>AI133*T133</f>
        <v>0</v>
      </c>
      <c r="AK133" s="2">
        <f>T133-W133</f>
        <v>75.89</v>
      </c>
      <c r="AL133" s="5">
        <f>(T133-W133)/T133</f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>(T134-W134)/T134</f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>AJ134</f>
        <v>0</v>
      </c>
      <c r="AJ134" s="2">
        <f>AI134*T134</f>
        <v>0</v>
      </c>
      <c r="AK134" s="2">
        <f>T134-W134</f>
        <v>0</v>
      </c>
      <c r="AL134" s="5">
        <f>(T134-W134)/T134</f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>(T135-W135)/T135</f>
        <v>0.43663541666666661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>AJ135</f>
        <v>0</v>
      </c>
      <c r="AJ135" s="2">
        <f>AI135*T135</f>
        <v>0</v>
      </c>
      <c r="AK135" s="2">
        <f>T135-W135</f>
        <v>12.575099999999999</v>
      </c>
      <c r="AL135" s="5">
        <f>(T135-W135)/T135</f>
        <v>0.43663541666666661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>(T136-W136)/T136</f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>AJ136</f>
        <v>0</v>
      </c>
      <c r="AG136" s="2">
        <v>1.1122000000000001</v>
      </c>
      <c r="AH136" s="2">
        <v>3</v>
      </c>
      <c r="AJ136" s="2">
        <f>AI136*T136</f>
        <v>0</v>
      </c>
      <c r="AK136" s="2">
        <f>T136-W136</f>
        <v>37.756</v>
      </c>
      <c r="AL136" s="5">
        <f>(T136-W136)/T136</f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>(T137-W137)/T137</f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>AJ137</f>
        <v>0</v>
      </c>
      <c r="AJ137" s="2">
        <f>AI137*T137</f>
        <v>0</v>
      </c>
      <c r="AK137" s="2">
        <f>T137-W137</f>
        <v>9.745000000000001</v>
      </c>
      <c r="AL137" s="5">
        <f>(T137-W137)/T137</f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>(T138-W138)/T138</f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>AJ138</f>
        <v>0</v>
      </c>
      <c r="AJ138" s="2">
        <f>AI138*T138</f>
        <v>0</v>
      </c>
      <c r="AK138" s="2">
        <f>T138-W138</f>
        <v>12</v>
      </c>
      <c r="AL138" s="5">
        <f>(T138-W138)/T138</f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>(T139-W139)/T139</f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>AJ139</f>
        <v>0</v>
      </c>
      <c r="AG139" s="2">
        <v>10.6</v>
      </c>
      <c r="AH139" s="2">
        <v>18</v>
      </c>
      <c r="AJ139" s="2">
        <f>AI139*T139</f>
        <v>0</v>
      </c>
      <c r="AK139" s="2">
        <f>T139-W139</f>
        <v>74</v>
      </c>
      <c r="AL139" s="5">
        <f>(T139-W139)/T139</f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>(T140-W140)/T140</f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>AJ140</f>
        <v>0</v>
      </c>
      <c r="AG140" s="2">
        <v>8.1999999999999993</v>
      </c>
      <c r="AH140" s="2">
        <v>13</v>
      </c>
      <c r="AJ140" s="2">
        <f>AI140*T140</f>
        <v>0</v>
      </c>
      <c r="AK140" s="2">
        <f>T140-W140</f>
        <v>28</v>
      </c>
      <c r="AL140" s="5">
        <f>(T140-W140)/T140</f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>(T141-W141)/T141</f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>AJ141</f>
        <v>0</v>
      </c>
      <c r="AJ141" s="2">
        <f>AI141*T141</f>
        <v>0</v>
      </c>
      <c r="AK141" s="2">
        <f>T141-W141</f>
        <v>100</v>
      </c>
      <c r="AL141" s="5">
        <f>(T141-W141)/T141</f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>(T142-W142)/T142</f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>AJ142</f>
        <v>0</v>
      </c>
      <c r="AG142" s="2">
        <v>124.4</v>
      </c>
      <c r="AH142" s="2">
        <v>200</v>
      </c>
      <c r="AJ142" s="2">
        <f>AI142*T142</f>
        <v>0</v>
      </c>
      <c r="AK142" s="2">
        <f>T142-W142</f>
        <v>78</v>
      </c>
      <c r="AL142" s="5">
        <f>(T142-W142)/T142</f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>(T143-W143)/T143</f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>AJ143</f>
        <v>0</v>
      </c>
      <c r="AJ143" s="2">
        <f>AI143*T143</f>
        <v>0</v>
      </c>
      <c r="AK143" s="2">
        <f>T143-W143</f>
        <v>0</v>
      </c>
      <c r="AL143" s="5">
        <f>(T143-W143)/T143</f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>(T144-W144)/T144</f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>AJ144</f>
        <v>0</v>
      </c>
      <c r="AJ144" s="2">
        <f>AI144*T144</f>
        <v>0</v>
      </c>
      <c r="AK144" s="2">
        <f>T144-W144</f>
        <v>25</v>
      </c>
      <c r="AL144" s="5">
        <f>(T144-W144)/T144</f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>AJ145</f>
        <v>0</v>
      </c>
      <c r="AJ145" s="2">
        <f>AI145*T145</f>
        <v>0</v>
      </c>
      <c r="AK145" s="2">
        <f>T145-W145</f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>AJ146</f>
        <v>0</v>
      </c>
      <c r="AJ146" s="2">
        <f>AI146*T146</f>
        <v>0</v>
      </c>
      <c r="AK146" s="2">
        <f>T146-W146</f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>AJ147</f>
        <v>0</v>
      </c>
      <c r="AJ147" s="2">
        <f>AI147*T147</f>
        <v>0</v>
      </c>
      <c r="AK147" s="2">
        <f>T147-W147</f>
        <v>22.5</v>
      </c>
      <c r="AL147" s="5">
        <f>(T147-W147)/T147</f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>AJ148</f>
        <v>0</v>
      </c>
      <c r="AG148" s="2">
        <v>10.67</v>
      </c>
      <c r="AH148" s="2">
        <v>21</v>
      </c>
      <c r="AJ148" s="2">
        <f>AI148*T148</f>
        <v>0</v>
      </c>
      <c r="AK148" s="2">
        <f>T148-W148</f>
        <v>7.33</v>
      </c>
      <c r="AL148" s="5">
        <f>(T148-W148)/T148</f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>AJ149</f>
        <v>0</v>
      </c>
      <c r="AG149" s="2">
        <v>10.2346</v>
      </c>
      <c r="AH149" s="2">
        <v>18</v>
      </c>
      <c r="AJ149" s="2">
        <f>AI149*T149</f>
        <v>0</v>
      </c>
      <c r="AK149" s="2">
        <f>T149-W149</f>
        <v>2.4000000000000004</v>
      </c>
      <c r="AL149" s="5">
        <f>(T149-W149)/T149</f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>AJ150</f>
        <v>0</v>
      </c>
      <c r="AG150" s="2">
        <v>10.6</v>
      </c>
      <c r="AH150" s="2">
        <v>18</v>
      </c>
      <c r="AJ150" s="2">
        <f>AI150*T150</f>
        <v>0</v>
      </c>
      <c r="AK150" s="2">
        <f>T150-W150</f>
        <v>54</v>
      </c>
      <c r="AL150" s="5">
        <f>(T150-W150)/T150</f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>AJ151</f>
        <v>0</v>
      </c>
      <c r="AJ151" s="2">
        <f>AI151*T151</f>
        <v>0</v>
      </c>
      <c r="AK151" s="2">
        <f>T151-W151</f>
        <v>-310.95999999999998</v>
      </c>
      <c r="AL151" s="5">
        <f>(T151-W151)/T151</f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>AJ152</f>
        <v>0</v>
      </c>
      <c r="AJ152" s="2">
        <f>AI152*T152</f>
        <v>0</v>
      </c>
      <c r="AK152" s="2">
        <f>T152-W152</f>
        <v>-979.98</v>
      </c>
      <c r="AL152" s="5">
        <f>(T152-W152)/T152</f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>AJ153</f>
        <v>0</v>
      </c>
      <c r="AJ153" s="2">
        <f>AI153*T153</f>
        <v>0</v>
      </c>
      <c r="AK153" s="2">
        <f>T153-W153</f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>AJ154</f>
        <v>0</v>
      </c>
      <c r="AJ154" s="2">
        <f>AI154*T154</f>
        <v>0</v>
      </c>
      <c r="AK154" s="2">
        <f>T154-W154</f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>AJ155</f>
        <v>0</v>
      </c>
      <c r="AG155" s="2">
        <v>7.9611999999999998</v>
      </c>
      <c r="AH155" s="2">
        <v>14.4</v>
      </c>
      <c r="AJ155" s="2">
        <f>AI155*T155</f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>AJ156</f>
        <v>0</v>
      </c>
      <c r="AG156" s="2">
        <v>8.3145000000000007</v>
      </c>
      <c r="AH156" s="2">
        <v>15</v>
      </c>
      <c r="AJ156" s="2">
        <f>AI156*T156</f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>(T157-W157)/T157</f>
        <v>1</v>
      </c>
      <c r="Z157" s="2" t="s">
        <v>120</v>
      </c>
      <c r="AA157" s="2" t="s">
        <v>3384</v>
      </c>
      <c r="AF157" s="2">
        <f>AJ157</f>
        <v>0</v>
      </c>
      <c r="AJ157" s="2">
        <f>AI157*T157</f>
        <v>0</v>
      </c>
      <c r="AK157" s="2">
        <f>T157-W157</f>
        <v>212.5</v>
      </c>
      <c r="AL157" s="5">
        <f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>(T158-W158)/T158</f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>AJ158</f>
        <v>0</v>
      </c>
      <c r="AG158" s="2">
        <v>117.453</v>
      </c>
      <c r="AH158" s="2">
        <v>220</v>
      </c>
      <c r="AJ158" s="2">
        <f>AI158*T158</f>
        <v>0</v>
      </c>
      <c r="AK158" s="2">
        <f>T158-W158</f>
        <v>92.546999999999997</v>
      </c>
      <c r="AL158" s="5">
        <f>(T158-W158)/T158</f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>(T159-W159)/T159</f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>AJ159</f>
        <v>0</v>
      </c>
      <c r="AJ159" s="2">
        <f>AI159*T159</f>
        <v>0</v>
      </c>
      <c r="AK159" s="2">
        <f>T159-W159</f>
        <v>0</v>
      </c>
      <c r="AL159" s="5">
        <f>(T159-W159)/T159</f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>(T160-W160)/T160</f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>AJ160</f>
        <v>0</v>
      </c>
      <c r="AJ160" s="2">
        <f>AI160*T160</f>
        <v>0</v>
      </c>
      <c r="AK160" s="2">
        <f>T160-W160</f>
        <v>22.027999999999999</v>
      </c>
      <c r="AL160" s="5">
        <f>(T160-W160)/T160</f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>(T161-W161)/T161</f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>AJ161</f>
        <v>0</v>
      </c>
      <c r="AG161" s="2">
        <v>7.2217000000000002</v>
      </c>
      <c r="AH161" s="2">
        <v>14.4</v>
      </c>
      <c r="AJ161" s="2">
        <f>AI161*T161</f>
        <v>0</v>
      </c>
      <c r="AK161" s="2">
        <f>T161-W161</f>
        <v>5.9782999999999991</v>
      </c>
      <c r="AL161" s="5">
        <f>(T161-W161)/T161</f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>(T162-W162)/T162</f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>AJ162</f>
        <v>0</v>
      </c>
      <c r="AJ162" s="2">
        <f>AI162*T162</f>
        <v>0</v>
      </c>
      <c r="AK162" s="2">
        <f>T162-W162</f>
        <v>7.125</v>
      </c>
      <c r="AL162" s="5">
        <f>(T162-W162)/T162</f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>(T163-W163)/T163</f>
        <v>0.44138749999999999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>AJ163</f>
        <v>0</v>
      </c>
      <c r="AJ163" s="2">
        <f>AI163*T163</f>
        <v>0</v>
      </c>
      <c r="AK163" s="2">
        <f>T163-W163</f>
        <v>10.593299999999999</v>
      </c>
      <c r="AL163" s="5">
        <f>(T163-W163)/T163</f>
        <v>0.44138749999999999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>(T164-W164)/T164</f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>AJ164</f>
        <v>0</v>
      </c>
      <c r="AJ164" s="2">
        <f>AI164*T164</f>
        <v>0</v>
      </c>
      <c r="AK164" s="2">
        <f>T164-W164</f>
        <v>110.53999999999999</v>
      </c>
      <c r="AL164" s="5">
        <f>(T164-W164)/T164</f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>(T165-W165)/T165</f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>AJ165</f>
        <v>0</v>
      </c>
      <c r="AJ165" s="2">
        <f>AI165*T165</f>
        <v>0</v>
      </c>
      <c r="AK165" s="2">
        <f>T165-W165</f>
        <v>0</v>
      </c>
      <c r="AL165" s="5">
        <f>(T165-W165)/T165</f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>(T166-W166)/T166</f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>AJ166</f>
        <v>0</v>
      </c>
      <c r="AJ166" s="2">
        <f>AI166*T166</f>
        <v>0</v>
      </c>
      <c r="AK166" s="2">
        <f>T166-W166</f>
        <v>115</v>
      </c>
      <c r="AL166" s="5">
        <f>(T166-W166)/T166</f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>(T167-W167)/T167</f>
        <v>1</v>
      </c>
      <c r="Z167" s="2" t="s">
        <v>120</v>
      </c>
      <c r="AA167" s="2" t="s">
        <v>3384</v>
      </c>
      <c r="AF167" s="2">
        <f>AJ167</f>
        <v>0</v>
      </c>
      <c r="AJ167" s="2">
        <f>AI167*T167</f>
        <v>0</v>
      </c>
      <c r="AK167" s="2">
        <f>T167-W167</f>
        <v>20</v>
      </c>
      <c r="AL167" s="5">
        <f>(T167-W167)/T167</f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>(T168-W168)/T168</f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>AJ168</f>
        <v>0</v>
      </c>
      <c r="AG168" s="2">
        <v>117.453</v>
      </c>
      <c r="AH168" s="2">
        <v>220</v>
      </c>
      <c r="AJ168" s="2">
        <f>AI168*T168</f>
        <v>0</v>
      </c>
      <c r="AK168" s="2">
        <f>T168-W168</f>
        <v>76.526999999999987</v>
      </c>
      <c r="AL168" s="5">
        <f>(T168-W168)/T168</f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>(T169-W169)/T169</f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>AJ169</f>
        <v>0</v>
      </c>
      <c r="AJ169" s="2">
        <f>AI169*T169</f>
        <v>0</v>
      </c>
      <c r="AK169" s="2">
        <f>T169-W169</f>
        <v>0</v>
      </c>
      <c r="AL169" s="5">
        <f>(T169-W169)/T169</f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>(T170-W170)/T170</f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>AJ170</f>
        <v>0</v>
      </c>
      <c r="AJ170" s="2">
        <f>AI170*T170</f>
        <v>0</v>
      </c>
      <c r="AK170" s="2">
        <f>T170-W170</f>
        <v>44.4</v>
      </c>
      <c r="AL170" s="5">
        <f>(T170-W170)/T170</f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>(T171-W171)/T171</f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>AJ171</f>
        <v>0</v>
      </c>
      <c r="AJ171" s="2">
        <f>AI171*T171</f>
        <v>0</v>
      </c>
      <c r="AK171" s="2">
        <f>T171-W171</f>
        <v>25</v>
      </c>
      <c r="AL171" s="5">
        <f>(T171-W171)/T171</f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>(T172-W172)/T172</f>
        <v>1</v>
      </c>
      <c r="Z172" s="2" t="s">
        <v>120</v>
      </c>
      <c r="AA172" s="2" t="s">
        <v>3384</v>
      </c>
      <c r="AF172" s="2">
        <f>AJ172</f>
        <v>0</v>
      </c>
      <c r="AJ172" s="2">
        <f>AI172*T172</f>
        <v>0</v>
      </c>
      <c r="AK172" s="2">
        <f>T172-W172</f>
        <v>267.18</v>
      </c>
      <c r="AL172" s="5">
        <f>(T172-W172)/T172</f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>(T173-W173)/T173</f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>AJ173</f>
        <v>0</v>
      </c>
      <c r="AJ173" s="2">
        <f>AI173*T173</f>
        <v>0</v>
      </c>
      <c r="AK173" s="2">
        <f>T173-W173</f>
        <v>69.600000000000009</v>
      </c>
      <c r="AL173" s="5">
        <f>(T173-W173)/T173</f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>(T174-W174)/T174</f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>AJ174</f>
        <v>0</v>
      </c>
      <c r="AJ174" s="2">
        <f>AI174*T174</f>
        <v>0</v>
      </c>
      <c r="AK174" s="2">
        <f>T174-W174</f>
        <v>46.400000000000006</v>
      </c>
      <c r="AL174" s="5">
        <f>(T174-W174)/T174</f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>(T175-W175)/T175</f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>AJ175</f>
        <v>0</v>
      </c>
      <c r="AG175" s="2">
        <v>119.33</v>
      </c>
      <c r="AH175" s="2">
        <v>220</v>
      </c>
      <c r="AJ175" s="2">
        <f>AI175*T175</f>
        <v>0</v>
      </c>
      <c r="AK175" s="2">
        <f>T175-W175</f>
        <v>83.070000000000007</v>
      </c>
      <c r="AL175" s="5">
        <f>(T175-W175)/T175</f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>(T176-W176)/T176</f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>AJ176</f>
        <v>0</v>
      </c>
      <c r="AJ176" s="2">
        <f>AI176*T176</f>
        <v>0</v>
      </c>
      <c r="AK176" s="2">
        <f>T176-W176</f>
        <v>0</v>
      </c>
      <c r="AL176" s="5">
        <f>(T176-W176)/T176</f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>(T177-W177)/T177</f>
        <v>1</v>
      </c>
      <c r="Z177" s="2" t="s">
        <v>118</v>
      </c>
      <c r="AA177" s="2" t="s">
        <v>318</v>
      </c>
      <c r="AF177" s="2">
        <f>AJ177</f>
        <v>0</v>
      </c>
      <c r="AJ177" s="2">
        <f>AI177*T177</f>
        <v>0</v>
      </c>
      <c r="AK177" s="2">
        <f>T177-W177</f>
        <v>930</v>
      </c>
      <c r="AL177" s="5">
        <f>(T177-W177)/T177</f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>(T178-W178)/T178</f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>AJ178</f>
        <v>0</v>
      </c>
      <c r="AJ178" s="2">
        <f>AI178*T178</f>
        <v>0</v>
      </c>
      <c r="AK178" s="2">
        <f>T178-W178</f>
        <v>82.8</v>
      </c>
      <c r="AL178" s="5">
        <f>(T178-W178)/T178</f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>(T179-W179)/T179</f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>AJ179</f>
        <v>0</v>
      </c>
      <c r="AJ179" s="2">
        <f>AI179*T179</f>
        <v>0</v>
      </c>
      <c r="AK179" s="2">
        <f>T179-W179</f>
        <v>25</v>
      </c>
      <c r="AL179" s="5">
        <f>(T179-W179)/T179</f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>AJ180</f>
        <v>0</v>
      </c>
      <c r="AJ180" s="2">
        <f>AI180*T180</f>
        <v>0</v>
      </c>
      <c r="AK180" s="2">
        <f>T180-W180</f>
        <v>0</v>
      </c>
      <c r="AL180" s="5" t="e">
        <f>(T180-W180)/T180</f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118</v>
      </c>
      <c r="AA181" s="2" t="s">
        <v>318</v>
      </c>
      <c r="AF181" s="2">
        <f>AJ181</f>
        <v>0</v>
      </c>
      <c r="AJ181" s="2">
        <f>AI181*T181</f>
        <v>0</v>
      </c>
      <c r="AK181" s="2">
        <f>T181-W181</f>
        <v>975</v>
      </c>
      <c r="AL181" s="5">
        <f>(T181-W181)/T181</f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>AJ182</f>
        <v>0</v>
      </c>
      <c r="AJ182" s="2">
        <f>AI182*T182</f>
        <v>0</v>
      </c>
      <c r="AK182" s="2">
        <f>T182-W182</f>
        <v>0</v>
      </c>
      <c r="AL182" s="5" t="e">
        <f>(T182-W182)/T182</f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>(T183-W183)/T183</f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>AJ183</f>
        <v>0</v>
      </c>
      <c r="AG183" s="2">
        <v>10669.4</v>
      </c>
      <c r="AJ183" s="2">
        <f>AI183*T183</f>
        <v>0</v>
      </c>
      <c r="AK183" s="2">
        <f>T183-W183</f>
        <v>3920.6000000000004</v>
      </c>
      <c r="AL183" s="5">
        <f>(T183-W183)/T183</f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>(T184-W184)/T184</f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>AJ184</f>
        <v>0</v>
      </c>
      <c r="AG184" s="2">
        <v>10.6</v>
      </c>
      <c r="AH184" s="2">
        <v>18</v>
      </c>
      <c r="AJ184" s="2">
        <f>AI184*T184</f>
        <v>0</v>
      </c>
      <c r="AK184" s="2">
        <f>T184-W184</f>
        <v>22.200000000000003</v>
      </c>
      <c r="AL184" s="5">
        <f>(T184-W184)/T184</f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>(T185-W185)/T185</f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>AJ185</f>
        <v>0</v>
      </c>
      <c r="AG185" s="2">
        <v>8.1999999999999993</v>
      </c>
      <c r="AH185" s="2">
        <v>13</v>
      </c>
      <c r="AJ185" s="2">
        <f>AI185*T185</f>
        <v>0</v>
      </c>
      <c r="AK185" s="2">
        <f>T185-W185</f>
        <v>19.199999999999996</v>
      </c>
      <c r="AL185" s="5">
        <f>(T185-W185)/T185</f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>(T186-W186)/T186</f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>AJ186</f>
        <v>0</v>
      </c>
      <c r="AG186" s="2">
        <v>3.7555999999999998</v>
      </c>
      <c r="AH186" s="2">
        <v>7.2</v>
      </c>
      <c r="AJ186" s="2">
        <f>AI186*T186</f>
        <v>0</v>
      </c>
      <c r="AK186" s="2">
        <f>T186-W186</f>
        <v>11.377599999999999</v>
      </c>
      <c r="AL186" s="5">
        <f>(T186-W186)/T186</f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>(T187-W187)/T187</f>
        <v>1</v>
      </c>
      <c r="Z187" s="2" t="s">
        <v>170</v>
      </c>
      <c r="AA187" s="2" t="s">
        <v>170</v>
      </c>
      <c r="AF187" s="2">
        <f>AJ187</f>
        <v>0</v>
      </c>
      <c r="AJ187" s="2">
        <f>AI187*T187</f>
        <v>0</v>
      </c>
      <c r="AK187" s="2">
        <f>T187-W187</f>
        <v>4.5</v>
      </c>
      <c r="AL187" s="5">
        <f>(T187-W187)/T187</f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>(T188-W188)/T188</f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>AJ188</f>
        <v>0</v>
      </c>
      <c r="AG188" s="2">
        <v>10.6</v>
      </c>
      <c r="AH188" s="2">
        <v>18</v>
      </c>
      <c r="AJ188" s="2">
        <f>AI188*T188</f>
        <v>0</v>
      </c>
      <c r="AK188" s="2">
        <f>T188-W188</f>
        <v>7.4</v>
      </c>
      <c r="AL188" s="5">
        <f>(T188-W188)/T188</f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>(T189-W189)/T189</f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>AJ189</f>
        <v>0</v>
      </c>
      <c r="AG189" s="2">
        <v>8.1999999999999993</v>
      </c>
      <c r="AH189" s="2">
        <v>13</v>
      </c>
      <c r="AJ189" s="2">
        <f>AI189*T189</f>
        <v>0</v>
      </c>
      <c r="AK189" s="2">
        <f>T189-W189</f>
        <v>4.7999999999999989</v>
      </c>
      <c r="AL189" s="5">
        <f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>(T190-W190)/T190</f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>AJ190</f>
        <v>0</v>
      </c>
      <c r="AG190" s="2">
        <f>101.305+6.77</f>
        <v>108.075</v>
      </c>
      <c r="AH190" s="2">
        <v>210</v>
      </c>
      <c r="AJ190" s="2">
        <f>AI190*T190</f>
        <v>0</v>
      </c>
      <c r="AK190" s="2">
        <f>T190-W190</f>
        <v>83.015000000000001</v>
      </c>
      <c r="AL190" s="5">
        <f>(T190-W190)/T190</f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>(T191-W191)/T191</f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>AJ191</f>
        <v>0</v>
      </c>
      <c r="AJ191" s="2">
        <f>AI191*T191</f>
        <v>0</v>
      </c>
      <c r="AK191" s="2">
        <f>T191-W191</f>
        <v>0</v>
      </c>
      <c r="AL191" s="5">
        <f>(T191-W191)/T191</f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>(T192-W192)/T192</f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>AJ192</f>
        <v>0</v>
      </c>
      <c r="AJ192" s="2">
        <f>AI192*T192</f>
        <v>0</v>
      </c>
      <c r="AK192" s="2">
        <f>T192-W192</f>
        <v>178</v>
      </c>
      <c r="AL192" s="5">
        <f>(T192-W192)/T192</f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>(T193-W193)/T193</f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>AJ193</f>
        <v>0</v>
      </c>
      <c r="AG193" s="2">
        <v>117.453</v>
      </c>
      <c r="AH193" s="2">
        <v>220</v>
      </c>
      <c r="AJ193" s="2">
        <f>AI193*T193</f>
        <v>0</v>
      </c>
      <c r="AK193" s="2">
        <f>T193-W193</f>
        <v>284.58799999999997</v>
      </c>
      <c r="AL193" s="5">
        <f>(T193-W193)/T193</f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>(T194-W194)/T194</f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>AJ194</f>
        <v>0</v>
      </c>
      <c r="AG194" s="2">
        <v>1.1399999999999999</v>
      </c>
      <c r="AH194" s="2">
        <v>1.1399999999999999</v>
      </c>
      <c r="AJ194" s="2">
        <f>AI194*T194</f>
        <v>0</v>
      </c>
      <c r="AK194" s="2">
        <f>T194-W194</f>
        <v>0</v>
      </c>
      <c r="AL194" s="5">
        <f>(T194-W194)/T194</f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>(T195-W195)/T195</f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>AJ195</f>
        <v>0</v>
      </c>
      <c r="AG195" s="2">
        <v>3.7357999999999998</v>
      </c>
      <c r="AH195" s="2">
        <v>9</v>
      </c>
      <c r="AJ195" s="2">
        <f>AI195*T195</f>
        <v>0</v>
      </c>
      <c r="AK195" s="2">
        <f>T195-W195</f>
        <v>4.0641999999999996</v>
      </c>
      <c r="AL195" s="5">
        <f>(T195-W195)/T195</f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>(T196-W196)/T196</f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>AJ196</f>
        <v>0</v>
      </c>
      <c r="AG196" s="2">
        <v>0.85609999999999997</v>
      </c>
      <c r="AH196" s="2">
        <v>1.8</v>
      </c>
      <c r="AJ196" s="2">
        <f>AI196*T196</f>
        <v>0</v>
      </c>
      <c r="AK196" s="2">
        <f>T196-W196</f>
        <v>7.5512000000000006</v>
      </c>
      <c r="AL196" s="5">
        <f>(T196-W196)/T196</f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>(T197-W197)/T197</f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>AJ197</f>
        <v>0</v>
      </c>
      <c r="AG197" s="2">
        <v>16.282499999999999</v>
      </c>
      <c r="AJ197" s="2">
        <f>AI197*T197</f>
        <v>0</v>
      </c>
      <c r="AK197" s="2">
        <f>T197-W197</f>
        <v>20.987500000000004</v>
      </c>
      <c r="AL197" s="5">
        <f>(T197-W197)/T197</f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>(T198-W198)/T198</f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>AJ198</f>
        <v>0</v>
      </c>
      <c r="AG198" s="2">
        <v>52.49</v>
      </c>
      <c r="AJ198" s="2">
        <f>AI198*T198</f>
        <v>0</v>
      </c>
      <c r="AK198" s="2">
        <f>T198-W198</f>
        <v>57.74</v>
      </c>
      <c r="AL198" s="5">
        <f>(T198-W198)/T198</f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>(T199-W199)/T199</f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>AJ199</f>
        <v>0</v>
      </c>
      <c r="AG199" s="2">
        <v>248.5</v>
      </c>
      <c r="AJ199" s="2">
        <f>AI199*T199</f>
        <v>0</v>
      </c>
      <c r="AK199" s="2">
        <f>T199-W199</f>
        <v>493.47</v>
      </c>
      <c r="AL199" s="5">
        <f>(T199-W199)/T199</f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>(T200-W200)/T200</f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>AJ200</f>
        <v>0</v>
      </c>
      <c r="AJ200" s="2">
        <f>AI200*T200</f>
        <v>0</v>
      </c>
      <c r="AK200" s="2">
        <f>T200-W200</f>
        <v>103.2</v>
      </c>
      <c r="AL200" s="5">
        <f>(T200-W200)/T200</f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>(T201-W201)/T201</f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>AJ201</f>
        <v>0</v>
      </c>
      <c r="AJ201" s="2">
        <f>AI201*T201</f>
        <v>0</v>
      </c>
      <c r="AK201" s="2">
        <f>T201-W201</f>
        <v>75</v>
      </c>
      <c r="AL201" s="5">
        <f>(T201-W201)/T201</f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>(T202-W202)/T202</f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>AJ202</f>
        <v>0</v>
      </c>
      <c r="AG202" s="2">
        <v>110.68</v>
      </c>
      <c r="AH202" s="2">
        <v>210</v>
      </c>
      <c r="AJ202" s="2">
        <f>AI202*T202</f>
        <v>0</v>
      </c>
      <c r="AK202" s="2">
        <f>T202-W202</f>
        <v>73.319999999999993</v>
      </c>
      <c r="AL202" s="5">
        <f>(T202-W202)/T202</f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>(T203-W203)/T203</f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>AJ203</f>
        <v>0</v>
      </c>
      <c r="AJ203" s="2">
        <f>AI203*T203</f>
        <v>0</v>
      </c>
      <c r="AK203" s="2">
        <f>T203-W203</f>
        <v>0</v>
      </c>
      <c r="AL203" s="5">
        <f>(T203-W203)/T203</f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>(T204-W204)/T204</f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>AJ204</f>
        <v>0</v>
      </c>
      <c r="AG204" s="2">
        <v>10.67</v>
      </c>
      <c r="AH204" s="2">
        <v>21</v>
      </c>
      <c r="AJ204" s="2">
        <f>AI204*T204</f>
        <v>0</v>
      </c>
      <c r="AK204" s="2">
        <f>T204-W204</f>
        <v>7.33</v>
      </c>
      <c r="AL204" s="5">
        <f>(T204-W204)/T204</f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>(T205-W205)/T205</f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>AJ205</f>
        <v>0</v>
      </c>
      <c r="AJ205" s="2">
        <f>AI205*T205</f>
        <v>0</v>
      </c>
      <c r="AK205" s="2">
        <f>T205-W205</f>
        <v>19.8</v>
      </c>
      <c r="AL205" s="5">
        <f>(T205-W205)/T205</f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>(T206-W206)/T206</f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>AJ206</f>
        <v>0</v>
      </c>
      <c r="AG206" s="2">
        <v>10.6</v>
      </c>
      <c r="AH206" s="2">
        <v>18</v>
      </c>
      <c r="AJ206" s="2">
        <f>AI206*T206</f>
        <v>0</v>
      </c>
      <c r="AK206" s="2">
        <f>T206-W206</f>
        <v>37</v>
      </c>
      <c r="AL206" s="5">
        <f>(T206-W206)/T206</f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>(T207-W207)/T207</f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>AJ207</f>
        <v>0</v>
      </c>
      <c r="AG207" s="2">
        <v>9.14</v>
      </c>
      <c r="AH207" s="2">
        <v>16</v>
      </c>
      <c r="AJ207" s="2">
        <f>AI207*T207</f>
        <v>0</v>
      </c>
      <c r="AK207" s="2">
        <f>T207-W207</f>
        <v>4.8600000000000012</v>
      </c>
      <c r="AL207" s="5">
        <f>(T207-W207)/T207</f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>(T208-W208)/T208</f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>AJ208</f>
        <v>0</v>
      </c>
      <c r="AG208" s="2">
        <v>8.1999999999999993</v>
      </c>
      <c r="AH208" s="2">
        <v>13</v>
      </c>
      <c r="AJ208" s="2">
        <f>AI208*T208</f>
        <v>0</v>
      </c>
      <c r="AK208" s="2">
        <f>T208-W208</f>
        <v>9.5999999999999979</v>
      </c>
      <c r="AL208" s="5">
        <f>(T208-W208)/T208</f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>(T209-W209)/T209</f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>AJ209</f>
        <v>0</v>
      </c>
      <c r="AG209" s="2">
        <v>15.020300000000001</v>
      </c>
      <c r="AH209" s="2">
        <v>27.6</v>
      </c>
      <c r="AJ209" s="2">
        <f>AI209*T209</f>
        <v>0</v>
      </c>
      <c r="AK209" s="2">
        <f>T209-W209</f>
        <v>10.179699999999999</v>
      </c>
      <c r="AL209" s="5">
        <f>(T209-W209)/T209</f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>(T210-W210)/T210</f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>AJ210</f>
        <v>0</v>
      </c>
      <c r="AJ210" s="2">
        <f>AI210*T210</f>
        <v>0</v>
      </c>
      <c r="AK210" s="2">
        <f>T210-W210</f>
        <v>84.6</v>
      </c>
      <c r="AL210" s="5">
        <f>(T210-W210)/T210</f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>(T211-W211)/T211</f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>AJ211</f>
        <v>0</v>
      </c>
      <c r="AJ211" s="2">
        <f>AI211*T211</f>
        <v>0</v>
      </c>
      <c r="AK211" s="2">
        <f>T211-W211</f>
        <v>25</v>
      </c>
      <c r="AL211" s="5">
        <f>(T211-W211)/T211</f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>(T212-W212)/T212</f>
        <v>1</v>
      </c>
      <c r="Z212" s="2" t="s">
        <v>120</v>
      </c>
      <c r="AA212" s="2" t="s">
        <v>3384</v>
      </c>
      <c r="AF212" s="2">
        <f>AJ212</f>
        <v>0</v>
      </c>
      <c r="AJ212" s="2">
        <f>AI212*T212</f>
        <v>0</v>
      </c>
      <c r="AK212" s="2">
        <f>T212-W212</f>
        <v>242.57</v>
      </c>
      <c r="AL212" s="5">
        <f>(T212-W212)/T212</f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>(T213-W213)/T213</f>
        <v>1</v>
      </c>
      <c r="Z213" s="2" t="s">
        <v>118</v>
      </c>
      <c r="AF213" s="2">
        <f>AJ213</f>
        <v>0</v>
      </c>
      <c r="AJ213" s="2">
        <f>AI213*T213</f>
        <v>0</v>
      </c>
      <c r="AK213" s="2">
        <f>T213-W213</f>
        <v>-163.63</v>
      </c>
      <c r="AL213" s="5">
        <f>(T213-W213)/T213</f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>(T214-W214)/T214</f>
        <v>1</v>
      </c>
      <c r="Z214" s="2" t="s">
        <v>118</v>
      </c>
      <c r="AF214" s="2">
        <f>AJ214</f>
        <v>0</v>
      </c>
      <c r="AJ214" s="2">
        <f>AI214*T214</f>
        <v>0</v>
      </c>
      <c r="AK214" s="2">
        <f>T214-W214</f>
        <v>-486.33</v>
      </c>
      <c r="AL214" s="5">
        <f>(T214-W214)/T214</f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>(T215-W215)/T215</f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>AJ215</f>
        <v>0</v>
      </c>
      <c r="AJ215" s="2">
        <f>AI215*T215</f>
        <v>0</v>
      </c>
      <c r="AK215" s="2">
        <f>T215-W215</f>
        <v>1500</v>
      </c>
      <c r="AL215" s="5">
        <f>(T215-W215)/T215</f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>(T216-W216)/T216</f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>AJ216</f>
        <v>0</v>
      </c>
      <c r="AG216" s="2">
        <v>102.17</v>
      </c>
      <c r="AH216" s="2">
        <v>190</v>
      </c>
      <c r="AJ216" s="2">
        <f>AI216*T216</f>
        <v>0</v>
      </c>
      <c r="AK216" s="2">
        <f>T216-W216</f>
        <v>69.86999999999999</v>
      </c>
      <c r="AL216" s="5">
        <f>(T216-W216)/T216</f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>(T217-W217)/T217</f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>AJ217</f>
        <v>0</v>
      </c>
      <c r="AG217" s="2">
        <v>131.93</v>
      </c>
      <c r="AH217" s="2">
        <v>220</v>
      </c>
      <c r="AJ217" s="2">
        <f>AI217*T217</f>
        <v>0</v>
      </c>
      <c r="AK217" s="2">
        <f>T217-W217</f>
        <v>61.269999999999982</v>
      </c>
      <c r="AL217" s="5">
        <f>(T217-W217)/T217</f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>(T218-W218)/T218</f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>AJ218</f>
        <v>0</v>
      </c>
      <c r="AG218" s="2">
        <v>152.85</v>
      </c>
      <c r="AH218" s="2">
        <v>260</v>
      </c>
      <c r="AJ218" s="2">
        <f>AI218*T218</f>
        <v>0</v>
      </c>
      <c r="AK218" s="2">
        <f>T218-W218</f>
        <v>107.15</v>
      </c>
      <c r="AL218" s="5">
        <f>(T218-W218)/T218</f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>(T219-W219)/T219</f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>AJ219</f>
        <v>0</v>
      </c>
      <c r="AJ219" s="2">
        <f>AI219*T219</f>
        <v>0</v>
      </c>
      <c r="AK219" s="2">
        <f>T219-W219</f>
        <v>0</v>
      </c>
      <c r="AL219" s="5">
        <f>(T219-W219)/T219</f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>(T220-W220)/T220</f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>AJ220</f>
        <v>0</v>
      </c>
      <c r="AG220" s="2">
        <v>15.020300000000001</v>
      </c>
      <c r="AH220" s="2">
        <v>27.6</v>
      </c>
      <c r="AJ220" s="2">
        <f>AI220*T220</f>
        <v>0</v>
      </c>
      <c r="AK220" s="2">
        <f>T220-W220</f>
        <v>17.939099999999996</v>
      </c>
      <c r="AL220" s="5">
        <f>(T220-W220)/T220</f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>(T221-W221)/T221</f>
        <v>1</v>
      </c>
      <c r="Z221" s="2" t="s">
        <v>120</v>
      </c>
      <c r="AA221" s="2" t="s">
        <v>493</v>
      </c>
      <c r="AF221" s="2">
        <f>AJ221</f>
        <v>0</v>
      </c>
      <c r="AJ221" s="2">
        <f>AI221*T221</f>
        <v>0</v>
      </c>
      <c r="AK221" s="2">
        <f>T221-W221</f>
        <v>650</v>
      </c>
      <c r="AL221" s="5">
        <f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>(T222-W222)/T222</f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>AJ222</f>
        <v>0</v>
      </c>
      <c r="AJ222" s="2">
        <f>AI222*T222</f>
        <v>0</v>
      </c>
      <c r="AK222" s="2">
        <f>T222-W222</f>
        <v>54.75</v>
      </c>
      <c r="AL222" s="5">
        <f>(T222-W222)/T222</f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>(T223-W223)/T223</f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>AJ223</f>
        <v>0</v>
      </c>
      <c r="AJ223" s="2">
        <f>AI223*T223</f>
        <v>0</v>
      </c>
      <c r="AK223" s="2">
        <f>T223-W223</f>
        <v>17.799999999999997</v>
      </c>
      <c r="AL223" s="5">
        <f>(T223-W223)/T223</f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>(T224-W224)/T224</f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>AJ224</f>
        <v>0</v>
      </c>
      <c r="AJ224" s="2">
        <f>AI224*T224</f>
        <v>0</v>
      </c>
      <c r="AK224" s="2">
        <f>T224-W224</f>
        <v>19.470000000000006</v>
      </c>
      <c r="AL224" s="5">
        <f>(T224-W224)/T224</f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>(T225-W225)/T225</f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>AJ225</f>
        <v>0</v>
      </c>
      <c r="AG225" s="2">
        <v>6.6266999999999996</v>
      </c>
      <c r="AH225" s="2">
        <v>12</v>
      </c>
      <c r="AJ225" s="2">
        <f>AI225*T225</f>
        <v>0</v>
      </c>
      <c r="AK225" s="2">
        <f>T225-W225</f>
        <v>16.119900000000001</v>
      </c>
      <c r="AL225" s="5">
        <f>(T225-W225)/T225</f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>(T226-W226)/T226</f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>AJ226</f>
        <v>0</v>
      </c>
      <c r="AJ226" s="2">
        <f>AI226*T226</f>
        <v>0</v>
      </c>
      <c r="AK226" s="2">
        <f>T226-W226</f>
        <v>8.41</v>
      </c>
      <c r="AL226" s="5">
        <f>(T226-W226)/T226</f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>(T227-W227)/T227</f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>AJ227</f>
        <v>0</v>
      </c>
      <c r="AJ227" s="2">
        <f>AI227*T227</f>
        <v>0</v>
      </c>
      <c r="AK227" s="2">
        <f>T227-W227</f>
        <v>24</v>
      </c>
      <c r="AL227" s="5">
        <f>(T227-W227)/T227</f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>(T228-W228)/T228</f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>AJ228</f>
        <v>0</v>
      </c>
      <c r="AG228" s="2">
        <v>15.020300000000001</v>
      </c>
      <c r="AH228" s="2">
        <v>27.6</v>
      </c>
      <c r="AJ228" s="2">
        <f>AI228*T228</f>
        <v>0</v>
      </c>
      <c r="AK228" s="2">
        <f>T228-W228</f>
        <v>5.9796999999999993</v>
      </c>
      <c r="AL228" s="5">
        <f>(T228-W228)/T228</f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>(T229-W229)/T229</f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>AJ229</f>
        <v>0</v>
      </c>
      <c r="AG229" s="2">
        <v>8.1999999999999993</v>
      </c>
      <c r="AH229" s="2">
        <v>13</v>
      </c>
      <c r="AJ229" s="2">
        <f>AI229*T229</f>
        <v>0</v>
      </c>
      <c r="AK229" s="2">
        <f>T229-W229</f>
        <v>23</v>
      </c>
      <c r="AL229" s="5">
        <f>(T229-W229)/T229</f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>(T230-W230)/T230</f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>AJ230</f>
        <v>0</v>
      </c>
      <c r="AG230" s="2">
        <v>10.6</v>
      </c>
      <c r="AH230" s="2">
        <v>18</v>
      </c>
      <c r="AJ230" s="2">
        <f>AI230*T230</f>
        <v>0</v>
      </c>
      <c r="AK230" s="2">
        <f>T230-W230</f>
        <v>29.6</v>
      </c>
      <c r="AL230" s="5">
        <f>(T230-W230)/T230</f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>(T231-W231)/T231</f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>AJ231</f>
        <v>0</v>
      </c>
      <c r="AG231" s="2">
        <v>8.1999999999999993</v>
      </c>
      <c r="AH231" s="2">
        <v>13</v>
      </c>
      <c r="AJ231" s="2">
        <f>AI231*T231</f>
        <v>0</v>
      </c>
      <c r="AK231" s="2">
        <f>T231-W231</f>
        <v>9.5999999999999979</v>
      </c>
      <c r="AL231" s="5">
        <f>(T231-W231)/T231</f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>(T232-W232)/T232</f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>AJ232</f>
        <v>0</v>
      </c>
      <c r="AG232" s="2">
        <v>10.6</v>
      </c>
      <c r="AH232" s="2">
        <v>18</v>
      </c>
      <c r="AJ232" s="2">
        <f>AI232*T232</f>
        <v>0</v>
      </c>
      <c r="AK232" s="2">
        <f>T232-W232</f>
        <v>14.8</v>
      </c>
      <c r="AL232" s="5">
        <f>(T232-W232)/T232</f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>(T233-W233)/T233</f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>AJ233</f>
        <v>0</v>
      </c>
      <c r="AJ233" s="2">
        <f>AI233*T233</f>
        <v>0</v>
      </c>
      <c r="AK233" s="2">
        <f>T233-W233</f>
        <v>300.58999999999997</v>
      </c>
      <c r="AL233" s="5">
        <f>(T233-W233)/T233</f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>(T234-W234)/T234</f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>AJ234</f>
        <v>0</v>
      </c>
      <c r="AJ234" s="2">
        <f>AI234*T234</f>
        <v>0</v>
      </c>
      <c r="AK234" s="2">
        <f>T234-W234</f>
        <v>30</v>
      </c>
      <c r="AL234" s="5">
        <f>(T234-W234)/T234</f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>(T235-W235)/T235</f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>AJ235</f>
        <v>0</v>
      </c>
      <c r="AJ235" s="2">
        <f>AI235*T235</f>
        <v>0</v>
      </c>
      <c r="AK235" s="2">
        <f>T235-W235</f>
        <v>18.75</v>
      </c>
      <c r="AL235" s="5">
        <f>(T235-W235)/T235</f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>(T236-W236)/T236</f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>AJ236</f>
        <v>0</v>
      </c>
      <c r="AJ236" s="2">
        <f>AI236*T236</f>
        <v>0</v>
      </c>
      <c r="AK236" s="2">
        <f>T236-W236</f>
        <v>80.349999999999994</v>
      </c>
      <c r="AL236" s="5">
        <f>(T236-W236)/T236</f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>(T237-W237)/T237</f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>AJ237</f>
        <v>0</v>
      </c>
      <c r="AJ237" s="2">
        <f>AI237*T237</f>
        <v>0</v>
      </c>
      <c r="AK237" s="2">
        <f>T237-W237</f>
        <v>81.069999999999993</v>
      </c>
      <c r="AL237" s="5">
        <f>(T237-W237)/T237</f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>(T238-W238)/T238</f>
        <v>1</v>
      </c>
      <c r="Z238" s="2" t="s">
        <v>170</v>
      </c>
      <c r="AA238" s="2" t="s">
        <v>170</v>
      </c>
      <c r="AF238" s="2">
        <f>AJ238</f>
        <v>0</v>
      </c>
      <c r="AJ238" s="2">
        <f>AI238*T238</f>
        <v>0</v>
      </c>
      <c r="AK238" s="2">
        <f>T238-W238</f>
        <v>8.5</v>
      </c>
      <c r="AL238" s="5">
        <f>(T238-W238)/T238</f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>(T239-W239)/T239</f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>AJ239</f>
        <v>0</v>
      </c>
      <c r="AG239" s="2">
        <v>131.93</v>
      </c>
      <c r="AH239" s="2">
        <v>220</v>
      </c>
      <c r="AJ239" s="2">
        <f>AI239*T239</f>
        <v>0</v>
      </c>
      <c r="AK239" s="2">
        <f>T239-W239</f>
        <v>56.669999999999987</v>
      </c>
      <c r="AL239" s="5">
        <f>(T239-W239)/T239</f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>(T240-W240)/T240</f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>AJ240</f>
        <v>0</v>
      </c>
      <c r="AG240" s="2">
        <v>1.1399999999999999</v>
      </c>
      <c r="AH240" s="2">
        <v>1.1399999999999999</v>
      </c>
      <c r="AJ240" s="2">
        <f>AI240*T240</f>
        <v>0</v>
      </c>
      <c r="AK240" s="2">
        <f>T240-W240</f>
        <v>0</v>
      </c>
      <c r="AL240" s="5">
        <f>(T240-W240)/T240</f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>(T241-W241)/T241</f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>AJ241</f>
        <v>0</v>
      </c>
      <c r="AG241" s="2">
        <v>299.25</v>
      </c>
      <c r="AJ241" s="2">
        <f>AI241*T241</f>
        <v>0</v>
      </c>
      <c r="AK241" s="2">
        <f>T241-W241</f>
        <v>99.75</v>
      </c>
      <c r="AL241" s="5">
        <f>(T241-W241)/T241</f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>(T242-W242)/T242</f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>AJ242</f>
        <v>0</v>
      </c>
      <c r="AG242" s="2">
        <v>117.453</v>
      </c>
      <c r="AH242" s="2">
        <v>220</v>
      </c>
      <c r="AJ242" s="2">
        <f>AI242*T242</f>
        <v>0</v>
      </c>
      <c r="AK242" s="2">
        <f>T242-W242</f>
        <v>66.546999999999997</v>
      </c>
      <c r="AL242" s="5">
        <f>(T242-W242)/T242</f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>(T243-W243)/T243</f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>AJ243</f>
        <v>0</v>
      </c>
      <c r="AJ243" s="2">
        <f>AI243*T243</f>
        <v>0</v>
      </c>
      <c r="AK243" s="2">
        <f>T243-W243</f>
        <v>0</v>
      </c>
      <c r="AL243" s="5">
        <f>(T243-W243)/T243</f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>AJ244</f>
        <v>0</v>
      </c>
      <c r="AG244" s="2">
        <f>110.125+11.77</f>
        <v>121.895</v>
      </c>
      <c r="AJ244" s="2">
        <f>AI244*T244</f>
        <v>0</v>
      </c>
      <c r="AK244" s="2">
        <f>T244-W244</f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>AJ245</f>
        <v>0</v>
      </c>
      <c r="AG245" s="2">
        <v>291.58999999999997</v>
      </c>
      <c r="AH245" s="2">
        <v>450</v>
      </c>
      <c r="AJ245" s="2">
        <f>AI245*T245</f>
        <v>0</v>
      </c>
      <c r="AK245" s="2">
        <f>T245-W245</f>
        <v>131.61000000000001</v>
      </c>
      <c r="AL245" s="5">
        <f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>(T246-W246)/T246</f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>AJ246</f>
        <v>0</v>
      </c>
      <c r="AJ246" s="2">
        <f>AI246*T246</f>
        <v>0</v>
      </c>
      <c r="AK246" s="2">
        <f>T246-W246</f>
        <v>0</v>
      </c>
      <c r="AL246" s="5">
        <f>(T246-W246)/T246</f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>(T247-W247)/T247</f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>AJ247</f>
        <v>0</v>
      </c>
      <c r="AJ247" s="2">
        <f>AI247*T247</f>
        <v>0</v>
      </c>
      <c r="AK247" s="2">
        <f>T247-W247</f>
        <v>25.356000000000002</v>
      </c>
      <c r="AL247" s="5">
        <f>(T247-W247)/T247</f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>(T248-W248)/T248</f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>AJ248</f>
        <v>0</v>
      </c>
      <c r="AG248" s="2">
        <v>117.453</v>
      </c>
      <c r="AH248" s="2">
        <v>220</v>
      </c>
      <c r="AJ248" s="2">
        <f>AI248*T248</f>
        <v>0</v>
      </c>
      <c r="AK248" s="2">
        <f>T248-W248</f>
        <v>66.546999999999997</v>
      </c>
      <c r="AL248" s="5">
        <f>(T248-W248)/T248</f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>(T249-W249)/T249</f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>AJ249</f>
        <v>0</v>
      </c>
      <c r="AJ249" s="2">
        <f>AI249*T249</f>
        <v>0</v>
      </c>
      <c r="AK249" s="2">
        <f>T249-W249</f>
        <v>0</v>
      </c>
      <c r="AL249" s="5">
        <f>(T249-W249)/T249</f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>(T250-W250)/T250</f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>AJ250</f>
        <v>0</v>
      </c>
      <c r="AG250" s="2">
        <v>91.41</v>
      </c>
      <c r="AJ250" s="2">
        <f>AI250*T250</f>
        <v>0</v>
      </c>
      <c r="AK250" s="2">
        <f>T250-W250</f>
        <v>110.99000000000001</v>
      </c>
      <c r="AL250" s="5">
        <f>(T250-W250)/T250</f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>(T251-W251)/T251</f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>AJ251</f>
        <v>0</v>
      </c>
      <c r="AG251" s="2">
        <v>1.1399999999999999</v>
      </c>
      <c r="AH251" s="2">
        <v>1.1399999999999999</v>
      </c>
      <c r="AJ251" s="2">
        <f>AI251*T251</f>
        <v>0</v>
      </c>
      <c r="AK251" s="2">
        <f>T251-W251</f>
        <v>0</v>
      </c>
      <c r="AL251" s="5">
        <f>(T251-W251)/T251</f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>(T252-W252)/T252</f>
        <v>1</v>
      </c>
      <c r="Z252" s="2" t="s">
        <v>118</v>
      </c>
      <c r="AA252" s="2" t="s">
        <v>318</v>
      </c>
      <c r="AF252" s="2">
        <f>AJ252</f>
        <v>0</v>
      </c>
      <c r="AJ252" s="2">
        <f>AI252*T252</f>
        <v>0</v>
      </c>
      <c r="AK252" s="2">
        <f>T252-W252</f>
        <v>1007</v>
      </c>
      <c r="AL252" s="5">
        <f>(T252-W252)/T252</f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>(T253-W253)/T253</f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>AJ253</f>
        <v>0</v>
      </c>
      <c r="AG253" s="2">
        <v>15.494999999999999</v>
      </c>
      <c r="AH253" s="2">
        <v>36</v>
      </c>
      <c r="AJ253" s="2">
        <f>AI253*T253</f>
        <v>0</v>
      </c>
      <c r="AK253" s="2">
        <f>T253-W253</f>
        <v>17.505000000000003</v>
      </c>
      <c r="AL253" s="5">
        <f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>(T254-W254)/T254</f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>AJ254</f>
        <v>0</v>
      </c>
      <c r="AG254" s="2">
        <v>117.453</v>
      </c>
      <c r="AH254" s="2">
        <v>220</v>
      </c>
      <c r="AJ254" s="2">
        <f>AI254*T254</f>
        <v>0</v>
      </c>
      <c r="AK254" s="2">
        <f>T254-W254</f>
        <v>133.09399999999999</v>
      </c>
      <c r="AL254" s="5">
        <f>(T254-W254)/T254</f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>(T255-W255)/T255</f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>AJ255</f>
        <v>0</v>
      </c>
      <c r="AG255" s="2">
        <v>143.91999999999999</v>
      </c>
      <c r="AJ255" s="2">
        <f>AI255*T255</f>
        <v>0</v>
      </c>
      <c r="AK255" s="2">
        <f>T255-W255</f>
        <v>67.680000000000007</v>
      </c>
      <c r="AL255" s="5">
        <f>(T255-W255)/T255</f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>(T256-W256)/T256</f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>AJ256</f>
        <v>0</v>
      </c>
      <c r="AG256" s="2">
        <v>122.446</v>
      </c>
      <c r="AH256" s="2">
        <v>230</v>
      </c>
      <c r="AJ256" s="2">
        <f>AI256*T256</f>
        <v>0</v>
      </c>
      <c r="AK256" s="2">
        <f>T256-W256</f>
        <v>89.153999999999996</v>
      </c>
      <c r="AL256" s="5">
        <f>(T256-W256)/T256</f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>(T257-W257)/T257</f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>AJ257</f>
        <v>0</v>
      </c>
      <c r="AG257" s="2">
        <v>1.1399999999999999</v>
      </c>
      <c r="AH257" s="2">
        <v>1.1399999999999999</v>
      </c>
      <c r="AJ257" s="2">
        <f>AI257*T257</f>
        <v>0</v>
      </c>
      <c r="AK257" s="2">
        <f>T257-W257</f>
        <v>0</v>
      </c>
      <c r="AL257" s="5">
        <f>(T257-W257)/T257</f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>(T258-W258)/T258</f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>AJ258</f>
        <v>0</v>
      </c>
      <c r="AG258" s="2">
        <v>5.33</v>
      </c>
      <c r="AJ258" s="2">
        <f>AI258*T258</f>
        <v>0</v>
      </c>
      <c r="AK258" s="2">
        <f>T258-W258</f>
        <v>17.91</v>
      </c>
      <c r="AL258" s="5">
        <f>(T258-W258)/T258</f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>(T259-W259)/T259</f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>AJ259</f>
        <v>0</v>
      </c>
      <c r="AJ259" s="2">
        <f>AI259*T259</f>
        <v>0</v>
      </c>
      <c r="AK259" s="2">
        <f>T259-W259</f>
        <v>64.199999999999989</v>
      </c>
      <c r="AL259" s="5">
        <f>(T259-W259)/T259</f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>(T260-W260)/T260</f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>AJ260</f>
        <v>0</v>
      </c>
      <c r="AJ260" s="2">
        <f>AI260*T260</f>
        <v>0</v>
      </c>
      <c r="AK260" s="2">
        <f>T260-W260</f>
        <v>25</v>
      </c>
      <c r="AL260" s="5">
        <f>(T260-W260)/T260</f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>(T261-W261)/T261</f>
        <v>1</v>
      </c>
      <c r="Z261" s="2" t="s">
        <v>118</v>
      </c>
      <c r="AA261" s="2" t="s">
        <v>119</v>
      </c>
      <c r="AB261" s="2" t="s">
        <v>120</v>
      </c>
      <c r="AF261" s="2">
        <f>AJ261</f>
        <v>0</v>
      </c>
      <c r="AJ261" s="2">
        <f>AI261*T261</f>
        <v>0</v>
      </c>
      <c r="AK261" s="2">
        <f>T261-W261</f>
        <v>267.18</v>
      </c>
      <c r="AL261" s="5">
        <f>(T261-W261)/T261</f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>AJ262</f>
        <v>0</v>
      </c>
      <c r="AJ262" s="2">
        <f>AI262*T262</f>
        <v>0</v>
      </c>
      <c r="AK262" s="2">
        <f>T262-W262</f>
        <v>0</v>
      </c>
      <c r="AL262" s="5" t="e">
        <f>(T262-W262)/T262</f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>AJ263</f>
        <v>0</v>
      </c>
      <c r="AJ263" s="2">
        <f>AI263*T263</f>
        <v>0</v>
      </c>
      <c r="AK263" s="2">
        <f>T263-W263</f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>AJ264</f>
        <v>0</v>
      </c>
      <c r="AG264" s="2">
        <v>9.3000000000000007</v>
      </c>
      <c r="AH264" s="2">
        <v>21</v>
      </c>
      <c r="AJ264" s="2">
        <f>AI264*T264</f>
        <v>0</v>
      </c>
      <c r="AK264" s="2">
        <f>T264-W264</f>
        <v>8.16</v>
      </c>
      <c r="AL264" s="5">
        <f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>(T265-W265)/T265</f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>AJ265</f>
        <v>0</v>
      </c>
      <c r="AG265" s="2">
        <v>8.1999999999999993</v>
      </c>
      <c r="AH265" s="2">
        <v>13</v>
      </c>
      <c r="AJ265" s="2">
        <f>AI265*T265</f>
        <v>0</v>
      </c>
      <c r="AK265" s="2">
        <f>T265-W265</f>
        <v>4.7999999999999989</v>
      </c>
      <c r="AL265" s="5">
        <f>(T265-W265)/T265</f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>(T266-W266)/T266</f>
        <v>1</v>
      </c>
      <c r="Z266" s="2" t="s">
        <v>170</v>
      </c>
      <c r="AA266" s="2" t="s">
        <v>170</v>
      </c>
      <c r="AF266" s="2">
        <f>AJ266</f>
        <v>0</v>
      </c>
      <c r="AJ266" s="2">
        <f>AI266*T266</f>
        <v>0</v>
      </c>
      <c r="AK266" s="2">
        <f>T266-W266</f>
        <v>5.5</v>
      </c>
      <c r="AL266" s="5">
        <f>(T266-W266)/T266</f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>(T267-W267)/T267</f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>AJ267</f>
        <v>0</v>
      </c>
      <c r="AJ267" s="2">
        <f>AI267*T267</f>
        <v>0</v>
      </c>
      <c r="AK267" s="2">
        <f>T267-W267</f>
        <v>5.4600000000000009</v>
      </c>
      <c r="AL267" s="5">
        <f>(T267-W267)/T267</f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>(T268-W268)/T268</f>
        <v>0.70177380952380952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>AJ268</f>
        <v>0</v>
      </c>
      <c r="AJ268" s="2">
        <f>AI268*T268</f>
        <v>0</v>
      </c>
      <c r="AK268" s="2">
        <f>T268-W268</f>
        <v>5.8948999999999998</v>
      </c>
      <c r="AL268" s="5">
        <f>(T268-W268)/T268</f>
        <v>0.70177380952380952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>(T269-W269)/T269</f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>AJ269</f>
        <v>0</v>
      </c>
      <c r="AG269" s="2">
        <v>25.2</v>
      </c>
      <c r="AJ269" s="2">
        <f>AI269*T269</f>
        <v>0</v>
      </c>
      <c r="AK269" s="2">
        <f>T269-W269</f>
        <v>54.269999999999996</v>
      </c>
      <c r="AL269" s="5">
        <f>(T269-W269)/T269</f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>(T270-W270)/T270</f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>AJ270</f>
        <v>0</v>
      </c>
      <c r="AG270" s="2">
        <v>6.6266999999999996</v>
      </c>
      <c r="AH270" s="2">
        <v>12</v>
      </c>
      <c r="AJ270" s="2">
        <f>AI270*T270</f>
        <v>0</v>
      </c>
      <c r="AK270" s="2">
        <f>T270-W270</f>
        <v>5.3733000000000004</v>
      </c>
      <c r="AL270" s="5">
        <f>(T270-W270)/T270</f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>(T271-W271)/T271</f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>AJ271</f>
        <v>0</v>
      </c>
      <c r="AG271" s="2">
        <v>10.6</v>
      </c>
      <c r="AH271" s="2">
        <v>18</v>
      </c>
      <c r="AJ271" s="2">
        <f>AI271*T271</f>
        <v>0</v>
      </c>
      <c r="AK271" s="2">
        <f>T271-W271</f>
        <v>54</v>
      </c>
      <c r="AL271" s="5">
        <f>(T271-W271)/T271</f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>(T272-W272)/T272</f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>AJ272</f>
        <v>0</v>
      </c>
      <c r="AG272" s="2">
        <v>1.1122000000000001</v>
      </c>
      <c r="AH272" s="2">
        <v>3</v>
      </c>
      <c r="AJ272" s="2">
        <f>AI272*T272</f>
        <v>0</v>
      </c>
      <c r="AK272" s="2">
        <f>T272-W272</f>
        <v>37.756</v>
      </c>
      <c r="AL272" s="5">
        <f>(T272-W272)/T272</f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>(T273-W273)/T273</f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>AJ273</f>
        <v>0</v>
      </c>
      <c r="AG273" s="2">
        <v>1.4114</v>
      </c>
      <c r="AH273" s="2">
        <v>3</v>
      </c>
      <c r="AJ273" s="2">
        <f>AI273*T273</f>
        <v>0</v>
      </c>
      <c r="AK273" s="2">
        <f>T273-W273</f>
        <v>3.9543999999999997</v>
      </c>
      <c r="AL273" s="5">
        <f>(T273-W273)/T273</f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1103</v>
      </c>
      <c r="J274" s="2" t="s">
        <v>1104</v>
      </c>
      <c r="L274" s="2" t="s">
        <v>178</v>
      </c>
      <c r="M274" s="2" t="s">
        <v>41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>(T274-W274)/T274</f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>AJ274</f>
        <v>0</v>
      </c>
      <c r="AG274" s="2">
        <v>8.1999999999999993</v>
      </c>
      <c r="AH274" s="2">
        <v>13</v>
      </c>
      <c r="AJ274" s="2">
        <f>AI274*T274</f>
        <v>0</v>
      </c>
      <c r="AK274" s="2">
        <f>T274-W274</f>
        <v>28</v>
      </c>
      <c r="AL274" s="5">
        <f>(T274-W274)/T274</f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>(T275-W275)/T275</f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>AJ275</f>
        <v>0</v>
      </c>
      <c r="AG275" s="2">
        <v>15.020300000000001</v>
      </c>
      <c r="AH275" s="2">
        <v>27.6</v>
      </c>
      <c r="AJ275" s="2">
        <f>AI275*T275</f>
        <v>0</v>
      </c>
      <c r="AK275" s="2">
        <f>T275-W275</f>
        <v>39.837599999999995</v>
      </c>
      <c r="AL275" s="5">
        <f>(T275-W275)/T275</f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>(T276-W276)/T276</f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>AJ276</f>
        <v>0</v>
      </c>
      <c r="AJ276" s="2">
        <f>AI276*T276</f>
        <v>0</v>
      </c>
      <c r="AK276" s="2">
        <f>T276-W276</f>
        <v>35.519999999999996</v>
      </c>
      <c r="AL276" s="5">
        <f>(T276-W276)/T276</f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>(T277-W277)/T277</f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>AJ277</f>
        <v>0</v>
      </c>
      <c r="AJ277" s="2">
        <f>AI277*T277</f>
        <v>0</v>
      </c>
      <c r="AK277" s="2">
        <f>T277-W277</f>
        <v>6.6399999999999864</v>
      </c>
      <c r="AL277" s="5">
        <f>(T277-W277)/T277</f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>(T278-W278)/T278</f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>AJ278</f>
        <v>0</v>
      </c>
      <c r="AG278" s="2">
        <v>6.6266999999999996</v>
      </c>
      <c r="AH278" s="2">
        <v>12</v>
      </c>
      <c r="AJ278" s="2">
        <f>AI278*T278</f>
        <v>0</v>
      </c>
      <c r="AK278" s="2">
        <f>T278-W278</f>
        <v>4.3733000000000004</v>
      </c>
      <c r="AL278" s="5">
        <f>(T278-W278)/T278</f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>(T279-W279)/T279</f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>AJ279</f>
        <v>0</v>
      </c>
      <c r="AJ279" s="2">
        <f>AI279*T279</f>
        <v>0</v>
      </c>
      <c r="AK279" s="2">
        <f>T279-W279</f>
        <v>17.505000000000003</v>
      </c>
      <c r="AL279" s="5">
        <f>(T279-W279)/T279</f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>(T280-W280)/T280</f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>AJ280</f>
        <v>0</v>
      </c>
      <c r="AG280" s="2">
        <v>7.2217000000000002</v>
      </c>
      <c r="AH280" s="2">
        <v>14.4</v>
      </c>
      <c r="AJ280" s="2">
        <f>AI280*T280</f>
        <v>0</v>
      </c>
      <c r="AK280" s="2">
        <f>T280-W280</f>
        <v>5.3182999999999989</v>
      </c>
      <c r="AL280" s="5">
        <f>(T280-W280)/T280</f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>(T281-W281)/T281</f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>AJ281</f>
        <v>0</v>
      </c>
      <c r="AJ281" s="2">
        <f>AI281*T281</f>
        <v>0</v>
      </c>
      <c r="AK281" s="2">
        <f>T281-W281</f>
        <v>7.125</v>
      </c>
      <c r="AL281" s="5">
        <f>(T281-W281)/T281</f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>(T282-W282)/T282</f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>AJ282</f>
        <v>0</v>
      </c>
      <c r="AJ282" s="2">
        <f>AI282*T282</f>
        <v>0</v>
      </c>
      <c r="AK282" s="2">
        <f>T282-W282</f>
        <v>18.809999999999999</v>
      </c>
      <c r="AL282" s="5">
        <f>(T282-W282)/T282</f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>(T283-W283)/T283</f>
        <v>0.41198684210526315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>AJ283</f>
        <v>0</v>
      </c>
      <c r="AJ283" s="2">
        <f>AI283*T283</f>
        <v>0</v>
      </c>
      <c r="AK283" s="2">
        <f>T283-W283</f>
        <v>9.3933</v>
      </c>
      <c r="AL283" s="5">
        <f>(T283-W283)/T283</f>
        <v>0.41198684210526315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>(T284-W284)/T284</f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>AJ284</f>
        <v>0</v>
      </c>
      <c r="AG284" s="2">
        <v>9.14</v>
      </c>
      <c r="AH284" s="2">
        <v>16</v>
      </c>
      <c r="AJ284" s="2">
        <f>AI284*T284</f>
        <v>0</v>
      </c>
      <c r="AK284" s="2">
        <f>T284-W284</f>
        <v>3.8600000000000012</v>
      </c>
      <c r="AL284" s="5">
        <f>(T284-W284)/T284</f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>(T285-W285)/T285</f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>AJ285</f>
        <v>0</v>
      </c>
      <c r="AJ285" s="2">
        <f>AI285*T285</f>
        <v>0</v>
      </c>
      <c r="AK285" s="2">
        <f>T285-W285</f>
        <v>19.95</v>
      </c>
      <c r="AL285" s="5">
        <f>(T285-W285)/T285</f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>(T286-W286)/T286</f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>AJ286</f>
        <v>0</v>
      </c>
      <c r="AJ286" s="2">
        <f>AI286*T286</f>
        <v>0</v>
      </c>
      <c r="AK286" s="2">
        <f>T286-W286</f>
        <v>3.99</v>
      </c>
      <c r="AL286" s="5">
        <f>(T286-W286)/T286</f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>(T287-W287)/T287</f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>AJ287</f>
        <v>0</v>
      </c>
      <c r="AJ287" s="2">
        <f>AI287*T287</f>
        <v>0</v>
      </c>
      <c r="AK287" s="2">
        <f>T287-W287</f>
        <v>22.027999999999999</v>
      </c>
      <c r="AL287" s="5">
        <f>(T287-W287)/T287</f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>(T288-W288)/T288</f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>AJ288</f>
        <v>0</v>
      </c>
      <c r="AJ288" s="2">
        <f>AI288*T288</f>
        <v>0</v>
      </c>
      <c r="AK288" s="2">
        <f>T288-W288</f>
        <v>15.12</v>
      </c>
      <c r="AL288" s="5">
        <f>(T288-W288)/T288</f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>AJ289</f>
        <v>0</v>
      </c>
      <c r="AG289" s="2">
        <v>10.2346</v>
      </c>
      <c r="AH289" s="2">
        <v>18</v>
      </c>
      <c r="AJ289" s="2">
        <f>AI289*T289</f>
        <v>0</v>
      </c>
      <c r="AK289" s="2">
        <f>T289-W289</f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>AJ290</f>
        <v>0</v>
      </c>
      <c r="AG290" s="2">
        <v>5.2972999999999999</v>
      </c>
      <c r="AH290" s="2">
        <v>10.8</v>
      </c>
      <c r="AJ290" s="2">
        <f>AI290*T290</f>
        <v>0</v>
      </c>
      <c r="AK290" s="2">
        <f>T290-W290</f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>AJ291</f>
        <v>0</v>
      </c>
      <c r="AJ291" s="2">
        <f>AI291*T291</f>
        <v>0</v>
      </c>
      <c r="AK291" s="2">
        <f>T291-W291</f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>AJ292</f>
        <v>0</v>
      </c>
      <c r="AG292" s="2">
        <v>1.8320000000000001</v>
      </c>
      <c r="AH292" s="2">
        <v>2.4</v>
      </c>
      <c r="AJ292" s="2">
        <f>AI292*T292</f>
        <v>0</v>
      </c>
      <c r="AK292" s="2">
        <f>T292-W292</f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>AJ293</f>
        <v>0</v>
      </c>
      <c r="AG293" s="2">
        <v>15.020300000000001</v>
      </c>
      <c r="AH293" s="2">
        <v>27.6</v>
      </c>
      <c r="AJ293" s="2">
        <f>AI293*T293</f>
        <v>0</v>
      </c>
      <c r="AK293" s="2">
        <f>T293-W293</f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>AJ294</f>
        <v>0</v>
      </c>
      <c r="AJ294" s="2">
        <f>AI294*T294</f>
        <v>0</v>
      </c>
      <c r="AK294" s="2">
        <f>T294-W294</f>
        <v>0</v>
      </c>
      <c r="AL294" s="5" t="e">
        <f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118</v>
      </c>
      <c r="AA295" s="2" t="s">
        <v>318</v>
      </c>
      <c r="AF295" s="2">
        <f>AJ295</f>
        <v>0</v>
      </c>
      <c r="AJ295" s="2">
        <f>AI295*T295</f>
        <v>0</v>
      </c>
      <c r="AK295" s="2">
        <f>T295-W295</f>
        <v>899</v>
      </c>
      <c r="AL295" s="5">
        <f>(T295-W295)/T295</f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>AJ296</f>
        <v>0</v>
      </c>
      <c r="AJ296" s="2">
        <f>AI296*T296</f>
        <v>0</v>
      </c>
      <c r="AK296" s="2">
        <f>T296-W296</f>
        <v>0</v>
      </c>
      <c r="AL296" s="5" t="e">
        <f>(T296-W296)/T296</f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>(T297-W297)/T297</f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>AJ297</f>
        <v>0</v>
      </c>
      <c r="AG297" s="2">
        <v>7.2217000000000002</v>
      </c>
      <c r="AH297" s="2">
        <v>14.4</v>
      </c>
      <c r="AJ297" s="2">
        <f>AI297*T297</f>
        <v>0</v>
      </c>
      <c r="AK297" s="2">
        <f>T297-W297</f>
        <v>5.9782999999999991</v>
      </c>
      <c r="AL297" s="5">
        <f>(T297-W297)/T297</f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>(T298-W298)/T298</f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>AJ298</f>
        <v>0</v>
      </c>
      <c r="AJ298" s="2">
        <f>AI298*T298</f>
        <v>0</v>
      </c>
      <c r="AK298" s="2">
        <f>T298-W298</f>
        <v>19.8</v>
      </c>
      <c r="AL298" s="5">
        <f>(T298-W298)/T298</f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>(T299-W299)/T299</f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>AJ299</f>
        <v>0</v>
      </c>
      <c r="AJ299" s="2">
        <f>AI299*T299</f>
        <v>0</v>
      </c>
      <c r="AK299" s="2">
        <f>T299-W299</f>
        <v>19.2</v>
      </c>
      <c r="AL299" s="5">
        <f>(T299-W299)/T299</f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>(T300-W300)/T300</f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>AJ300</f>
        <v>0</v>
      </c>
      <c r="AG300" s="2">
        <v>8.1999999999999993</v>
      </c>
      <c r="AH300" s="2">
        <v>13</v>
      </c>
      <c r="AJ300" s="2">
        <f>AI300*T300</f>
        <v>0</v>
      </c>
      <c r="AK300" s="2">
        <f>T300-W300</f>
        <v>4.7999999999999989</v>
      </c>
      <c r="AL300" s="5">
        <f>(T300-W300)/T300</f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>(T301-W301)/T301</f>
        <v>0.30127731092436982</v>
      </c>
      <c r="Z301" s="2" t="s">
        <v>105</v>
      </c>
      <c r="AA301" s="2" t="s">
        <v>617</v>
      </c>
      <c r="AB301" s="2" t="s">
        <v>3442</v>
      </c>
      <c r="AC301" s="2" t="s">
        <v>115</v>
      </c>
      <c r="AF301" s="2">
        <f>AJ301</f>
        <v>0</v>
      </c>
      <c r="AG301" s="2">
        <v>4157.3999999999996</v>
      </c>
      <c r="AJ301" s="2">
        <f>AI301*T301</f>
        <v>0</v>
      </c>
      <c r="AK301" s="2">
        <f>T301-W301</f>
        <v>1792.6000000000004</v>
      </c>
      <c r="AL301" s="5">
        <f>(T301-W301)/T301</f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>(T302-W302)/T302</f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>AJ302</f>
        <v>0</v>
      </c>
      <c r="AJ302" s="2">
        <f>AI302*T302</f>
        <v>0</v>
      </c>
      <c r="AK302" s="2">
        <f>T302-W302</f>
        <v>46.400000000000006</v>
      </c>
      <c r="AL302" s="5">
        <f>(T302-W302)/T302</f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>(T303-W303)/T303</f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>AJ303</f>
        <v>0</v>
      </c>
      <c r="AJ303" s="2">
        <f>AI303*T303</f>
        <v>0</v>
      </c>
      <c r="AK303" s="2">
        <f>T303-W303</f>
        <v>17.505000000000003</v>
      </c>
      <c r="AL303" s="5">
        <f>(T303-W303)/T303</f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>(T304-W304)/T304</f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>AJ304</f>
        <v>0</v>
      </c>
      <c r="AG304" s="2">
        <v>10.6</v>
      </c>
      <c r="AH304" s="2">
        <v>18</v>
      </c>
      <c r="AJ304" s="2">
        <f>AI304*T304</f>
        <v>0</v>
      </c>
      <c r="AK304" s="2">
        <f>T304-W304</f>
        <v>54</v>
      </c>
      <c r="AL304" s="5">
        <f>(T304-W304)/T304</f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>(T305-W305)/T305</f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>AJ305</f>
        <v>0</v>
      </c>
      <c r="AG305" s="2">
        <v>9.14</v>
      </c>
      <c r="AH305" s="2">
        <v>16</v>
      </c>
      <c r="AJ305" s="2">
        <f>AI305*T305</f>
        <v>0</v>
      </c>
      <c r="AK305" s="2">
        <f>T305-W305</f>
        <v>11.580000000000002</v>
      </c>
      <c r="AL305" s="5">
        <f>(T305-W305)/T305</f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>(T306-W306)/T306</f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>AJ306</f>
        <v>0</v>
      </c>
      <c r="AG306" s="2">
        <v>8.1999999999999993</v>
      </c>
      <c r="AH306" s="2">
        <v>13</v>
      </c>
      <c r="AJ306" s="2">
        <f>AI306*T306</f>
        <v>0</v>
      </c>
      <c r="AK306" s="2">
        <f>T306-W306</f>
        <v>9.5999999999999979</v>
      </c>
      <c r="AL306" s="5">
        <f>(T306-W306)/T306</f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>(T307-W307)/T307</f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>AJ307</f>
        <v>0</v>
      </c>
      <c r="AJ307" s="2">
        <f>AI307*T307</f>
        <v>0</v>
      </c>
      <c r="AK307" s="2">
        <f>T307-W307</f>
        <v>8.6999999999999993</v>
      </c>
      <c r="AL307" s="5">
        <f>(T307-W307)/T307</f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>(T308-W308)/T308</f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>AJ308</f>
        <v>0</v>
      </c>
      <c r="AJ308" s="2">
        <f>AI308*T308</f>
        <v>0</v>
      </c>
      <c r="AK308" s="2">
        <f>T308-W308</f>
        <v>27</v>
      </c>
      <c r="AL308" s="5">
        <f>(T308-W308)/T308</f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>(T309-W309)/T309</f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>AJ309</f>
        <v>0</v>
      </c>
      <c r="AG309" s="2">
        <v>12.938599999999999</v>
      </c>
      <c r="AJ309" s="2">
        <f>AI309*T309</f>
        <v>0</v>
      </c>
      <c r="AK309" s="2">
        <f>T309-W309</f>
        <v>13.911400000000002</v>
      </c>
      <c r="AL309" s="5">
        <f>(T309-W309)/T309</f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>(T310-W310)/T310</f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>AJ310</f>
        <v>0</v>
      </c>
      <c r="AG310" s="2">
        <v>25.57</v>
      </c>
      <c r="AJ310" s="2">
        <f>AI310*T310</f>
        <v>0</v>
      </c>
      <c r="AK310" s="2">
        <f>T310-W310</f>
        <v>13.93</v>
      </c>
      <c r="AL310" s="5">
        <f>(T310-W310)/T310</f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>(T311-W311)/T311</f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>AJ311</f>
        <v>0</v>
      </c>
      <c r="AG311" s="2">
        <v>5.33</v>
      </c>
      <c r="AJ311" s="2">
        <f>AI311*T311</f>
        <v>0</v>
      </c>
      <c r="AK311" s="2">
        <f>T311-W311</f>
        <v>17.899999999999999</v>
      </c>
      <c r="AL311" s="5">
        <f>(T311-W311)/T311</f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>(T312-W312)/T312</f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>AJ312</f>
        <v>0</v>
      </c>
      <c r="AG312" s="2">
        <v>117.453</v>
      </c>
      <c r="AH312" s="2">
        <v>220</v>
      </c>
      <c r="AJ312" s="2">
        <f>AI312*T312</f>
        <v>0</v>
      </c>
      <c r="AK312" s="2">
        <f>T312-W312</f>
        <v>66.546999999999997</v>
      </c>
      <c r="AL312" s="5">
        <f>(T312-W312)/T312</f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>(T313-W313)/T313</f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>AJ313</f>
        <v>0</v>
      </c>
      <c r="AJ313" s="2">
        <f>AI313*T313</f>
        <v>0</v>
      </c>
      <c r="AK313" s="2">
        <f>T313-W313</f>
        <v>0</v>
      </c>
      <c r="AL313" s="5">
        <f>(T313-W313)/T313</f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>(T314-W314)/T314</f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>AJ314</f>
        <v>0</v>
      </c>
      <c r="AG314" s="2">
        <v>117.453</v>
      </c>
      <c r="AH314" s="2">
        <v>220</v>
      </c>
      <c r="AJ314" s="2">
        <f>AI314*T314</f>
        <v>0</v>
      </c>
      <c r="AK314" s="2">
        <f>T314-W314</f>
        <v>75.746999999999986</v>
      </c>
      <c r="AL314" s="5">
        <f>(T314-W314)/T314</f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>(T315-W315)/T315</f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>AJ315</f>
        <v>0</v>
      </c>
      <c r="AJ315" s="2">
        <f>AI315*T315</f>
        <v>0</v>
      </c>
      <c r="AK315" s="2">
        <f>T315-W315</f>
        <v>0</v>
      </c>
      <c r="AL315" s="5">
        <f>(T315-W315)/T315</f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>AJ316</f>
        <v>0</v>
      </c>
      <c r="AJ316" s="2">
        <f>AI316*T316</f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>(T317-W317)/T317</f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>AJ317</f>
        <v>0</v>
      </c>
      <c r="AJ317" s="2">
        <f>AI317*T317</f>
        <v>0</v>
      </c>
      <c r="AK317" s="2">
        <f>T317-W317</f>
        <v>624.59659999999997</v>
      </c>
      <c r="AL317" s="5">
        <f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>(T318-W318)/T318</f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>AJ318</f>
        <v>0</v>
      </c>
      <c r="AJ318" s="2">
        <f>AI318*T318</f>
        <v>0</v>
      </c>
      <c r="AK318" s="2">
        <f>T318-W318</f>
        <v>43.969999999999992</v>
      </c>
      <c r="AL318" s="5">
        <f>(T318-W318)/T318</f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>(T319-W319)/T319</f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>AJ319</f>
        <v>0</v>
      </c>
      <c r="AJ319" s="2">
        <f>AI319*T319</f>
        <v>0</v>
      </c>
      <c r="AK319" s="2">
        <f>T319-W319</f>
        <v>93.6</v>
      </c>
      <c r="AL319" s="5">
        <f>(T319-W319)/T319</f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>(T320-W320)/T320</f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>AJ320</f>
        <v>0</v>
      </c>
      <c r="AJ320" s="2">
        <f>AI320*T320</f>
        <v>0</v>
      </c>
      <c r="AK320" s="2">
        <f>T320-W320</f>
        <v>25</v>
      </c>
      <c r="AL320" s="5">
        <f>(T320-W320)/T320</f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>(T321-W321)/T321</f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>AJ321</f>
        <v>0</v>
      </c>
      <c r="AJ321" s="2">
        <f>AI321*T321</f>
        <v>0</v>
      </c>
      <c r="AK321" s="2">
        <f>T321-W321</f>
        <v>62.6</v>
      </c>
      <c r="AL321" s="5">
        <f>(T321-W321)/T321</f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>(T322-W322)/T322</f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>AJ322</f>
        <v>0</v>
      </c>
      <c r="AJ322" s="2">
        <f>AI322*T322</f>
        <v>0</v>
      </c>
      <c r="AK322" s="2">
        <f>T322-W322</f>
        <v>60.3</v>
      </c>
      <c r="AL322" s="5">
        <f>(T322-W322)/T322</f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>(T323-W323)/T323</f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>AJ323</f>
        <v>0</v>
      </c>
      <c r="AJ323" s="2">
        <f>AI323*T323</f>
        <v>0</v>
      </c>
      <c r="AK323" s="2">
        <f>T323-W323</f>
        <v>22.5</v>
      </c>
      <c r="AL323" s="5">
        <f>(T323-W323)/T323</f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>(T324-W324)/T324</f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>AJ324</f>
        <v>0</v>
      </c>
      <c r="AG324" s="2">
        <v>77</v>
      </c>
      <c r="AJ324" s="2">
        <f>AI324*T324</f>
        <v>0</v>
      </c>
      <c r="AK324" s="2">
        <f>T324-W324</f>
        <v>217</v>
      </c>
      <c r="AL324" s="5">
        <f>(T324-W324)/T324</f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>(T325-W325)/T325</f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>AJ325</f>
        <v>0</v>
      </c>
      <c r="AG325" s="2">
        <v>119.33</v>
      </c>
      <c r="AH325" s="2">
        <v>220</v>
      </c>
      <c r="AJ325" s="2">
        <f>AI325*T325</f>
        <v>0</v>
      </c>
      <c r="AK325" s="2">
        <f>T325-W325</f>
        <v>92.27</v>
      </c>
      <c r="AL325" s="5">
        <f>(T325-W325)/T325</f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>(T326-W326)/T326</f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>AJ326</f>
        <v>0</v>
      </c>
      <c r="AG326" s="2">
        <v>1.1399999999999999</v>
      </c>
      <c r="AH326" s="2">
        <v>1.1399999999999999</v>
      </c>
      <c r="AJ326" s="2">
        <f>AI326*T326</f>
        <v>0</v>
      </c>
      <c r="AK326" s="2">
        <f>T326-W326</f>
        <v>0</v>
      </c>
      <c r="AL326" s="5">
        <f>(T326-W326)/T326</f>
        <v>0</v>
      </c>
    </row>
    <row r="327" spans="1:38" x14ac:dyDescent="0.2">
      <c r="A327" s="2">
        <v>2025</v>
      </c>
      <c r="B327" s="2">
        <v>1</v>
      </c>
      <c r="C327" s="2" t="s">
        <v>3460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>AJ327</f>
        <v>0</v>
      </c>
      <c r="AJ327" s="2">
        <f>AI327*T327</f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3460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>AJ328</f>
        <v>0</v>
      </c>
      <c r="AJ328" s="2">
        <f>AI328*T328</f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>(T329-W329)/T329</f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>AJ329</f>
        <v>0</v>
      </c>
      <c r="AG329" s="2">
        <v>121.46</v>
      </c>
      <c r="AH329" s="2">
        <v>210</v>
      </c>
      <c r="AJ329" s="2">
        <f>AI329*T329</f>
        <v>0</v>
      </c>
      <c r="AK329" s="2">
        <f>T329-W329</f>
        <v>90.14</v>
      </c>
      <c r="AL329" s="5">
        <f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>(T330-W330)/T330</f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>AJ330</f>
        <v>0</v>
      </c>
      <c r="AJ330" s="2">
        <f>AI330*T330</f>
        <v>0</v>
      </c>
      <c r="AK330" s="2">
        <f>T330-W330</f>
        <v>77.245000000000005</v>
      </c>
      <c r="AL330" s="5">
        <f>(T330-W330)/T330</f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>(T331-W331)/T331</f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>AJ331</f>
        <v>0</v>
      </c>
      <c r="AJ331" s="2">
        <f>AI331*T331</f>
        <v>0</v>
      </c>
      <c r="AK331" s="2">
        <f>T331-W331</f>
        <v>0</v>
      </c>
      <c r="AL331" s="5">
        <f>(T331-W331)/T331</f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>(T332-W332)/T332</f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>AJ332</f>
        <v>0</v>
      </c>
      <c r="AG332" s="2">
        <v>29.27</v>
      </c>
      <c r="AH332" s="2">
        <v>60</v>
      </c>
      <c r="AJ332" s="2">
        <f>AI332*T332</f>
        <v>0</v>
      </c>
      <c r="AK332" s="2">
        <f>T332-W332</f>
        <v>30.73</v>
      </c>
      <c r="AL332" s="5">
        <f>(T332-W332)/T332</f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>(T333-W333)/T333</f>
        <v>1</v>
      </c>
      <c r="Z333" s="2" t="s">
        <v>170</v>
      </c>
      <c r="AA333" s="2" t="s">
        <v>170</v>
      </c>
      <c r="AF333" s="2">
        <f>AJ333</f>
        <v>0</v>
      </c>
      <c r="AJ333" s="2">
        <f>AI333*T333</f>
        <v>0</v>
      </c>
      <c r="AK333" s="2">
        <f>T333-W333</f>
        <v>8.5</v>
      </c>
      <c r="AL333" s="5">
        <f>(T333-W333)/T333</f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>(T334-W334)/T334</f>
        <v>1</v>
      </c>
      <c r="Z334" s="2" t="s">
        <v>118</v>
      </c>
      <c r="AF334" s="2">
        <f>AJ334</f>
        <v>0</v>
      </c>
      <c r="AJ334" s="2">
        <f>AI334*T334</f>
        <v>0</v>
      </c>
      <c r="AK334" s="2">
        <f>T334-W334</f>
        <v>14.95</v>
      </c>
      <c r="AL334" s="5">
        <f>(T334-W334)/T334</f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>(T335-W335)/T335</f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>AJ335</f>
        <v>0</v>
      </c>
      <c r="AJ335" s="2">
        <f>AI335*T335</f>
        <v>0</v>
      </c>
      <c r="AK335" s="2">
        <f>T335-W335</f>
        <v>24.995000000000001</v>
      </c>
      <c r="AL335" s="5">
        <f>(T335-W335)/T335</f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>(T336-W336)/T336</f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>AJ336</f>
        <v>0</v>
      </c>
      <c r="AG336" s="2">
        <f>10958.19+575</f>
        <v>11533.19</v>
      </c>
      <c r="AJ336" s="2">
        <f>AI336*T336</f>
        <v>0</v>
      </c>
      <c r="AK336" s="2">
        <f>T336-W336</f>
        <v>7626.619999999999</v>
      </c>
      <c r="AL336" s="5">
        <f>(T336-W336)/T336</f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>(T337-W337)/T337</f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>AJ337</f>
        <v>0</v>
      </c>
      <c r="AG337" s="2">
        <v>104.49</v>
      </c>
      <c r="AH337" s="2">
        <v>220</v>
      </c>
      <c r="AJ337" s="2">
        <f>AI337*T337</f>
        <v>0</v>
      </c>
      <c r="AK337" s="2">
        <f>T337-W337</f>
        <v>79.510000000000005</v>
      </c>
      <c r="AL337" s="5">
        <f>(T337-W337)/T337</f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>(T338-W338)/T338</f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>AJ338</f>
        <v>0</v>
      </c>
      <c r="AG338" s="2">
        <v>122.446</v>
      </c>
      <c r="AH338" s="2">
        <v>230</v>
      </c>
      <c r="AJ338" s="2">
        <f>AI338*T338</f>
        <v>0</v>
      </c>
      <c r="AK338" s="2">
        <f>T338-W338</f>
        <v>92.554000000000002</v>
      </c>
      <c r="AL338" s="5">
        <f>(T338-W338)/T338</f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>(T339-W339)/T339</f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>AJ339</f>
        <v>0</v>
      </c>
      <c r="AG339" s="2">
        <v>147.86000000000001</v>
      </c>
      <c r="AH339" s="2">
        <v>250</v>
      </c>
      <c r="AJ339" s="2">
        <f>AI339*T339</f>
        <v>0</v>
      </c>
      <c r="AK339" s="2">
        <f>T339-W339</f>
        <v>82.139999999999986</v>
      </c>
      <c r="AL339" s="5">
        <f>(T339-W339)/T339</f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>(T340-W340)/T340</f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>AJ340</f>
        <v>0</v>
      </c>
      <c r="AJ340" s="2">
        <f>AI340*T340</f>
        <v>0</v>
      </c>
      <c r="AK340" s="2">
        <f>T340-W340</f>
        <v>0</v>
      </c>
      <c r="AL340" s="5">
        <f>(T340-W340)/T340</f>
        <v>0</v>
      </c>
    </row>
    <row r="341" spans="1:38" x14ac:dyDescent="0.2">
      <c r="A341" s="2">
        <v>2025</v>
      </c>
      <c r="B341" s="2">
        <v>2</v>
      </c>
      <c r="C341" s="2" t="s">
        <v>3406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>(T341-W341)/T341</f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>AJ341</f>
        <v>0</v>
      </c>
      <c r="AJ341" s="2">
        <f>AI341*T341</f>
        <v>0</v>
      </c>
      <c r="AK341" s="2">
        <f>T341-W341</f>
        <v>400</v>
      </c>
      <c r="AL341" s="5">
        <f>(T341-W341)/T341</f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>(T342-W342)/T342</f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>AJ342</f>
        <v>0</v>
      </c>
      <c r="AG342" s="2">
        <v>246.77</v>
      </c>
      <c r="AJ342" s="2">
        <f>AI342*T342</f>
        <v>0</v>
      </c>
      <c r="AK342" s="2">
        <f>T342-W342</f>
        <v>271.52</v>
      </c>
      <c r="AL342" s="5">
        <f>(T342-W342)/T342</f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>(T343-W343)/T343</f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>AJ343</f>
        <v>0</v>
      </c>
      <c r="AJ343" s="2">
        <f>AI343*T343</f>
        <v>0</v>
      </c>
      <c r="AK343" s="2">
        <f>T343-W343</f>
        <v>30</v>
      </c>
      <c r="AL343" s="5">
        <f>(T343-W343)/T343</f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>(T344-W344)/T344</f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>AJ344</f>
        <v>0</v>
      </c>
      <c r="AJ344" s="2">
        <f>AI344*T344</f>
        <v>0</v>
      </c>
      <c r="AK344" s="2">
        <f>T344-W344</f>
        <v>25</v>
      </c>
      <c r="AL344" s="5">
        <f>(T344-W344)/T344</f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>(T345-W345)/T345</f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>AJ345</f>
        <v>0</v>
      </c>
      <c r="AG345" s="2">
        <v>12.1</v>
      </c>
      <c r="AH345" s="2">
        <v>22.2</v>
      </c>
      <c r="AJ345" s="2">
        <f>AI345*T345</f>
        <v>0</v>
      </c>
      <c r="AK345" s="2">
        <f>T345-W345</f>
        <v>20.2</v>
      </c>
      <c r="AL345" s="5">
        <f>(T345-W345)/T345</f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>(T346-W346)/T346</f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>AJ346</f>
        <v>0</v>
      </c>
      <c r="AG346" s="2">
        <v>3.7357999999999998</v>
      </c>
      <c r="AH346" s="2">
        <v>9</v>
      </c>
      <c r="AJ346" s="2">
        <f>AI346*T346</f>
        <v>0</v>
      </c>
      <c r="AK346" s="2">
        <f>T346-W346</f>
        <v>16.256799999999998</v>
      </c>
      <c r="AL346" s="5">
        <f>(T346-W346)/T346</f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>(T347-W347)/T347</f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>AJ347</f>
        <v>0</v>
      </c>
      <c r="AG347" s="2">
        <v>0.85609999999999997</v>
      </c>
      <c r="AH347" s="2">
        <v>1.8</v>
      </c>
      <c r="AJ347" s="2">
        <f>AI347*T347</f>
        <v>0</v>
      </c>
      <c r="AK347" s="2">
        <f>T347-W347</f>
        <v>18.878</v>
      </c>
      <c r="AL347" s="5">
        <f>(T347-W347)/T347</f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>(T348-W348)/T348</f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>AJ348</f>
        <v>0</v>
      </c>
      <c r="AG348" s="2">
        <v>3.7357999999999998</v>
      </c>
      <c r="AH348" s="2">
        <v>9</v>
      </c>
      <c r="AJ348" s="2">
        <f>AI348*T348</f>
        <v>0</v>
      </c>
      <c r="AK348" s="2">
        <f>T348-W348</f>
        <v>4.0641999999999996</v>
      </c>
      <c r="AL348" s="5">
        <f>(T348-W348)/T348</f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>(T349-W349)/T349</f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>AJ349</f>
        <v>0</v>
      </c>
      <c r="AG349" s="2">
        <v>7.2217000000000002</v>
      </c>
      <c r="AH349" s="2">
        <v>14.4</v>
      </c>
      <c r="AJ349" s="2">
        <f>AI349*T349</f>
        <v>0</v>
      </c>
      <c r="AK349" s="2">
        <f>T349-W349</f>
        <v>5.9782999999999991</v>
      </c>
      <c r="AL349" s="5">
        <f>(T349-W349)/T349</f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>(T350-W350)/T350</f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>AJ350</f>
        <v>0</v>
      </c>
      <c r="AJ350" s="2">
        <f>AI350*T350</f>
        <v>0</v>
      </c>
      <c r="AK350" s="2">
        <f>T350-W350</f>
        <v>19.8</v>
      </c>
      <c r="AL350" s="5">
        <f>(T350-W350)/T350</f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>(T351-W351)/T351</f>
        <v>0.44138749999999999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>AJ351</f>
        <v>0</v>
      </c>
      <c r="AJ351" s="2">
        <f>AI351*T351</f>
        <v>0</v>
      </c>
      <c r="AK351" s="2">
        <f>T351-W351</f>
        <v>10.593299999999999</v>
      </c>
      <c r="AL351" s="5">
        <f>(T351-W351)/T351</f>
        <v>0.44138749999999999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>(T352-W352)/T352</f>
        <v>0.43663541666666661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>AJ352</f>
        <v>0</v>
      </c>
      <c r="AJ352" s="2">
        <f>AI352*T352</f>
        <v>0</v>
      </c>
      <c r="AK352" s="2">
        <f>T352-W352</f>
        <v>12.575099999999999</v>
      </c>
      <c r="AL352" s="5">
        <f>(T352-W352)/T352</f>
        <v>0.43663541666666661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>(T353-W353)/T353</f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>AJ353</f>
        <v>0</v>
      </c>
      <c r="AJ353" s="2">
        <f>AI353*T353</f>
        <v>0</v>
      </c>
      <c r="AK353" s="2">
        <f>T353-W353</f>
        <v>16.8</v>
      </c>
      <c r="AL353" s="5">
        <f>(T353-W353)/T353</f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>(T354-W354)/T354</f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>AJ354</f>
        <v>0</v>
      </c>
      <c r="AJ354" s="2">
        <f>AI354*T354</f>
        <v>0</v>
      </c>
      <c r="AK354" s="2">
        <f>T354-W354</f>
        <v>19.2</v>
      </c>
      <c r="AL354" s="5">
        <f>(T354-W354)/T354</f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>(T355-W355)/T355</f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>AJ355</f>
        <v>0</v>
      </c>
      <c r="AJ355" s="2">
        <f>AI355*T355</f>
        <v>0</v>
      </c>
      <c r="AK355" s="2">
        <f>T355-W355</f>
        <v>22.2</v>
      </c>
      <c r="AL355" s="5">
        <f>(T355-W355)/T355</f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>(T356-W356)/T356</f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>AJ356</f>
        <v>0</v>
      </c>
      <c r="AG356" s="2">
        <v>10.6</v>
      </c>
      <c r="AH356" s="2">
        <v>18</v>
      </c>
      <c r="AJ356" s="2">
        <f>AI356*T356</f>
        <v>0</v>
      </c>
      <c r="AK356" s="2">
        <f>T356-W356</f>
        <v>8.4</v>
      </c>
      <c r="AL356" s="5">
        <f>(T356-W356)/T356</f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>(T357-W357)/T357</f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>AJ357</f>
        <v>0</v>
      </c>
      <c r="AG357" s="2">
        <v>15.494999999999999</v>
      </c>
      <c r="AH357" s="2">
        <v>36</v>
      </c>
      <c r="AJ357" s="2">
        <f>AI357*T357</f>
        <v>0</v>
      </c>
      <c r="AK357" s="2">
        <f>T357-W357</f>
        <v>17.505000000000003</v>
      </c>
      <c r="AL357" s="5">
        <f>(T357-W357)/T357</f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>(T358-W358)/T358</f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>AJ358</f>
        <v>0</v>
      </c>
      <c r="AG358" s="2">
        <v>7.9611999999999998</v>
      </c>
      <c r="AH358" s="2">
        <v>14.4</v>
      </c>
      <c r="AJ358" s="2">
        <f>AI358*T358</f>
        <v>0</v>
      </c>
      <c r="AK358" s="2">
        <f>T358-W358</f>
        <v>7.0388000000000002</v>
      </c>
      <c r="AL358" s="5">
        <f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>AJ359</f>
        <v>0</v>
      </c>
      <c r="AJ359" s="2">
        <f>AI359*T359</f>
        <v>0</v>
      </c>
      <c r="AK359" s="2">
        <f>T359-W359</f>
        <v>0</v>
      </c>
      <c r="AL359" s="5" t="e">
        <f>(T359-W359)/T359</f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>(T360-W360)/T360</f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>AJ360</f>
        <v>0</v>
      </c>
      <c r="AJ360" s="2">
        <f>AI360*T360</f>
        <v>0</v>
      </c>
      <c r="AK360" s="2">
        <f>T360-W360</f>
        <v>1036.8</v>
      </c>
      <c r="AL360" s="5">
        <f>(T360-W360)/T360</f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>(T361-W361)/T361</f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>AJ361</f>
        <v>0</v>
      </c>
      <c r="AJ361" s="2">
        <f>AI361*T361</f>
        <v>0</v>
      </c>
      <c r="AK361" s="2">
        <f>T361-W361</f>
        <v>1023.1600000000001</v>
      </c>
      <c r="AL361" s="5">
        <f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>(T362-W362)/T362</f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>AJ362</f>
        <v>0</v>
      </c>
      <c r="AJ362" s="2">
        <f>AI362*T362</f>
        <v>0</v>
      </c>
      <c r="AK362" s="2">
        <f>T362-W362</f>
        <v>355.75549999999998</v>
      </c>
      <c r="AL362" s="5">
        <f>(T362-W362)/T362</f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>(T363-W363)/T363</f>
        <v>1</v>
      </c>
      <c r="Z363" s="2" t="s">
        <v>105</v>
      </c>
      <c r="AF363" s="2">
        <f>AJ363</f>
        <v>0</v>
      </c>
      <c r="AJ363" s="2">
        <f>AI363*T363</f>
        <v>0</v>
      </c>
      <c r="AK363" s="2">
        <f>T363-W363</f>
        <v>5500</v>
      </c>
      <c r="AL363" s="5">
        <f>(T363-W363)/T363</f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>(T364-W364)/T364</f>
        <v>1</v>
      </c>
      <c r="Z364" s="2" t="s">
        <v>105</v>
      </c>
      <c r="AF364" s="2">
        <f>AJ364</f>
        <v>0</v>
      </c>
      <c r="AJ364" s="2">
        <f>AI364*T364</f>
        <v>0</v>
      </c>
      <c r="AK364" s="2">
        <f>T364-W364</f>
        <v>3400</v>
      </c>
      <c r="AL364" s="5">
        <f>(T364-W364)/T364</f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>(T365-W365)/T365</f>
        <v>1</v>
      </c>
      <c r="Z365" s="2" t="s">
        <v>118</v>
      </c>
      <c r="AF365" s="2">
        <f>AJ365</f>
        <v>0</v>
      </c>
      <c r="AJ365" s="2">
        <f>AI365*T365</f>
        <v>0</v>
      </c>
      <c r="AK365" s="2">
        <f>T365-W365</f>
        <v>257.64999999999998</v>
      </c>
      <c r="AL365" s="5">
        <f>(T365-W365)/T365</f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>(T366-W366)/T366</f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>AJ366</f>
        <v>0</v>
      </c>
      <c r="AJ366" s="2">
        <f>AI366*T366</f>
        <v>0</v>
      </c>
      <c r="AK366" s="2">
        <f>T366-W366</f>
        <v>18.75</v>
      </c>
      <c r="AL366" s="5">
        <f>(T366-W366)/T366</f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>(T367-W367)/T367</f>
        <v>1</v>
      </c>
      <c r="Z367" s="2" t="s">
        <v>118</v>
      </c>
      <c r="AF367" s="2">
        <f>AJ367</f>
        <v>0</v>
      </c>
      <c r="AJ367" s="2">
        <f>AI367*T367</f>
        <v>0</v>
      </c>
      <c r="AK367" s="2">
        <f>T367-W367</f>
        <v>309.86</v>
      </c>
      <c r="AL367" s="5">
        <f>(T367-W367)/T367</f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>(T368-W368)/T368</f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>AJ368</f>
        <v>0</v>
      </c>
      <c r="AJ368" s="2">
        <f>AI368*T368</f>
        <v>0</v>
      </c>
      <c r="AK368" s="2">
        <f>T368-W368</f>
        <v>58.949999999999996</v>
      </c>
      <c r="AL368" s="5">
        <f>(T368-W368)/T368</f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>(T369-W369)/T369</f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>AJ369</f>
        <v>0</v>
      </c>
      <c r="AJ369" s="2">
        <f>AI369*T369</f>
        <v>0</v>
      </c>
      <c r="AK369" s="2">
        <f>T369-W369</f>
        <v>45</v>
      </c>
      <c r="AL369" s="5">
        <f>(T369-W369)/T369</f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>(T370-W370)/T370</f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>AJ370</f>
        <v>0</v>
      </c>
      <c r="AJ370" s="2">
        <f>AI370*T370</f>
        <v>0</v>
      </c>
      <c r="AK370" s="2">
        <f>T370-W370</f>
        <v>26.700000000000003</v>
      </c>
      <c r="AL370" s="5">
        <f>(T370-W370)/T370</f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>(T371-W371)/T371</f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>AJ371</f>
        <v>0</v>
      </c>
      <c r="AJ371" s="2">
        <f>AI371*T371</f>
        <v>0</v>
      </c>
      <c r="AK371" s="2">
        <f>T371-W371</f>
        <v>5.2332999999999998</v>
      </c>
      <c r="AL371" s="5">
        <f>(T371-W371)/T371</f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>(T372-W372)/T372</f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>AJ372</f>
        <v>0</v>
      </c>
      <c r="AJ372" s="2">
        <f>AI372*T372</f>
        <v>0</v>
      </c>
      <c r="AK372" s="2">
        <f>T372-W372</f>
        <v>178</v>
      </c>
      <c r="AL372" s="5">
        <f>(T372-W372)/T372</f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>(T373-W373)/T373</f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>AJ373</f>
        <v>0</v>
      </c>
      <c r="AJ373" s="2">
        <f>AI373*T373</f>
        <v>0</v>
      </c>
      <c r="AK373" s="2">
        <f>T373-W373</f>
        <v>109.13999999999999</v>
      </c>
      <c r="AL373" s="5">
        <f>(T373-W373)/T373</f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>(T374-W374)/T374</f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>AJ374</f>
        <v>0</v>
      </c>
      <c r="AJ374" s="2">
        <f>AI374*T374</f>
        <v>0</v>
      </c>
      <c r="AK374" s="2">
        <f>T374-W374</f>
        <v>0</v>
      </c>
      <c r="AL374" s="5">
        <f>(T374-W374)/T374</f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>(T375-W375)/T375</f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>AJ375</f>
        <v>0</v>
      </c>
      <c r="AG375" s="2">
        <v>110.68</v>
      </c>
      <c r="AH375" s="2">
        <v>210</v>
      </c>
      <c r="AJ375" s="2">
        <f>AI375*T375</f>
        <v>0</v>
      </c>
      <c r="AK375" s="2">
        <f>T375-W375</f>
        <v>73.319999999999993</v>
      </c>
      <c r="AL375" s="5">
        <f>(T375-W375)/T375</f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>(T376-W376)/T376</f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>AJ376</f>
        <v>0</v>
      </c>
      <c r="AJ376" s="2">
        <f>AI376*T376</f>
        <v>0</v>
      </c>
      <c r="AK376" s="2">
        <f>T376-W376</f>
        <v>0</v>
      </c>
      <c r="AL376" s="5">
        <f>(T376-W376)/T376</f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>(T377-W377)/T377</f>
        <v>1</v>
      </c>
      <c r="Z377" s="2" t="s">
        <v>118</v>
      </c>
      <c r="AF377" s="2">
        <f>AJ377</f>
        <v>0</v>
      </c>
      <c r="AJ377" s="2">
        <f>AI377*T377</f>
        <v>0</v>
      </c>
      <c r="AK377" s="2">
        <f>T377-W377</f>
        <v>44.98</v>
      </c>
      <c r="AL377" s="5">
        <f>(T377-W377)/T377</f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>(T378-W378)/T378</f>
        <v>0.43663541666666661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>AJ378</f>
        <v>0</v>
      </c>
      <c r="AJ378" s="2">
        <f>AI378*T378</f>
        <v>0</v>
      </c>
      <c r="AK378" s="2">
        <f>T378-W378</f>
        <v>12.575099999999999</v>
      </c>
      <c r="AL378" s="5">
        <f>(T378-W378)/T378</f>
        <v>0.43663541666666661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>(T379-W379)/T379</f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>AJ379</f>
        <v>0</v>
      </c>
      <c r="AG379" s="2">
        <v>9.14</v>
      </c>
      <c r="AH379" s="2">
        <v>16</v>
      </c>
      <c r="AJ379" s="2">
        <f>AI379*T379</f>
        <v>0</v>
      </c>
      <c r="AK379" s="2">
        <f>T379-W379</f>
        <v>14.300000000000004</v>
      </c>
      <c r="AL379" s="5">
        <f>(T379-W379)/T379</f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>(T380-W380)/T380</f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>AJ380</f>
        <v>0</v>
      </c>
      <c r="AJ380" s="2">
        <f>AI380*T380</f>
        <v>0</v>
      </c>
      <c r="AK380" s="2">
        <f>T380-W380</f>
        <v>19.300000000000004</v>
      </c>
      <c r="AL380" s="5">
        <f>(T380-W380)/T380</f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>(T381-W381)/T381</f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>AJ381</f>
        <v>0</v>
      </c>
      <c r="AG381" s="2">
        <v>15.020300000000001</v>
      </c>
      <c r="AH381" s="2">
        <v>27.6</v>
      </c>
      <c r="AJ381" s="2">
        <f>AI381*T381</f>
        <v>0</v>
      </c>
      <c r="AK381" s="2">
        <f>T381-W381</f>
        <v>19.439099999999996</v>
      </c>
      <c r="AL381" s="5">
        <f>(T381-W381)/T381</f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>(T382-W382)/T382</f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>AJ382</f>
        <v>0</v>
      </c>
      <c r="AJ382" s="2">
        <f>AI382*T382</f>
        <v>0</v>
      </c>
      <c r="AK382" s="2">
        <f>T382-W382</f>
        <v>30</v>
      </c>
      <c r="AL382" s="5">
        <f>(T382-W382)/T382</f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>(T383-W383)/T383</f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>AJ383</f>
        <v>0</v>
      </c>
      <c r="AJ383" s="2">
        <f>AI383*T383</f>
        <v>0</v>
      </c>
      <c r="AK383" s="2">
        <f>T383-W383</f>
        <v>18.75</v>
      </c>
      <c r="AL383" s="5">
        <f>(T383-W383)/T383</f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>(T384-W384)/T384</f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>AJ384</f>
        <v>0</v>
      </c>
      <c r="AG384" s="2">
        <v>13.59</v>
      </c>
      <c r="AJ384" s="2">
        <f>AI384*T384</f>
        <v>0</v>
      </c>
      <c r="AK384" s="2">
        <f>T384-W384</f>
        <v>14.649999999999999</v>
      </c>
      <c r="AL384" s="5">
        <f>(T384-W384)/T384</f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>(T385-W385)/T385</f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>AJ385</f>
        <v>0</v>
      </c>
      <c r="AG385" s="2">
        <f>9.75+0.63</f>
        <v>10.38</v>
      </c>
      <c r="AJ385" s="2">
        <f>AI385*T385</f>
        <v>0</v>
      </c>
      <c r="AK385" s="2">
        <f>T385-W385</f>
        <v>9.8899999999999988</v>
      </c>
      <c r="AL385" s="5">
        <f>(T385-W385)/T385</f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>(T386-W386)/T386</f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>AJ386</f>
        <v>0</v>
      </c>
      <c r="AG386" s="2">
        <v>117.453</v>
      </c>
      <c r="AH386" s="2">
        <v>220</v>
      </c>
      <c r="AJ386" s="2">
        <f>AI386*T386</f>
        <v>0</v>
      </c>
      <c r="AK386" s="2">
        <f>T386-W386</f>
        <v>97.546999999999997</v>
      </c>
      <c r="AL386" s="5">
        <f>(T386-W386)/T386</f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>(T387-W387)/T387</f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>AJ387</f>
        <v>0</v>
      </c>
      <c r="AG387" s="2">
        <v>1.1399999999999999</v>
      </c>
      <c r="AH387" s="2">
        <v>1.1399999999999999</v>
      </c>
      <c r="AJ387" s="2">
        <f>AI387*T387</f>
        <v>0</v>
      </c>
      <c r="AK387" s="2">
        <f>T387-W387</f>
        <v>0</v>
      </c>
      <c r="AL387" s="5">
        <f>(T387-W387)/T387</f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>(T388-W388)/T388</f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>AJ388</f>
        <v>0</v>
      </c>
      <c r="AJ388" s="2">
        <f>AI388*T388</f>
        <v>0</v>
      </c>
      <c r="AK388" s="2">
        <f>T388-W388</f>
        <v>705.45999999999992</v>
      </c>
      <c r="AL388" s="5">
        <f>(T388-W388)/T388</f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>(T389-W389)/T389</f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>AJ389</f>
        <v>0</v>
      </c>
      <c r="AJ389" s="2">
        <f>AI389*T389</f>
        <v>0</v>
      </c>
      <c r="AK389" s="2">
        <f>T389-W389</f>
        <v>166.8</v>
      </c>
      <c r="AL389" s="5">
        <f>(T389-W389)/T389</f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>AJ390</f>
        <v>0</v>
      </c>
      <c r="AJ390" s="2">
        <f>AI390*T390</f>
        <v>0</v>
      </c>
      <c r="AK390" s="2">
        <f>T390-W390</f>
        <v>25</v>
      </c>
      <c r="AL390" s="5">
        <f>(T390-W390)/T390</f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>(T391-W391)/T391</f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>AJ391</f>
        <v>0</v>
      </c>
      <c r="AJ391" s="2">
        <f>AI391*T391</f>
        <v>0</v>
      </c>
      <c r="AK391" s="2">
        <f>T391-W391</f>
        <v>22.027999999999999</v>
      </c>
      <c r="AL391" s="5">
        <f>(T391-W391)/T391</f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>(T392-W392)/T392</f>
        <v>1</v>
      </c>
      <c r="Z392" s="2" t="s">
        <v>170</v>
      </c>
      <c r="AA392" s="2" t="s">
        <v>170</v>
      </c>
      <c r="AF392" s="2">
        <f>AJ392</f>
        <v>0</v>
      </c>
      <c r="AJ392" s="2">
        <f>AI392*T392</f>
        <v>0</v>
      </c>
      <c r="AK392" s="2">
        <f>T392-W392</f>
        <v>5</v>
      </c>
      <c r="AL392" s="5">
        <f>(T392-W392)/T392</f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>(T393-W393)/T393</f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>AJ393</f>
        <v>0</v>
      </c>
      <c r="AJ393" s="2">
        <f>AI393*T393</f>
        <v>0</v>
      </c>
      <c r="AK393" s="2">
        <f>T393-W393</f>
        <v>127.01000000000002</v>
      </c>
      <c r="AL393" s="5">
        <f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>(T394-W394)/T394</f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>AJ394</f>
        <v>0</v>
      </c>
      <c r="AJ394" s="2">
        <f>AI394*T394</f>
        <v>0</v>
      </c>
      <c r="AK394" s="2">
        <f>T394-W394</f>
        <v>0</v>
      </c>
      <c r="AL394" s="5">
        <f>(T394-W394)/T394</f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>(T395-W395)/T395</f>
        <v>1</v>
      </c>
      <c r="Z395" s="2" t="s">
        <v>118</v>
      </c>
      <c r="AA395" s="2" t="s">
        <v>119</v>
      </c>
      <c r="AB395" s="2" t="s">
        <v>120</v>
      </c>
      <c r="AF395" s="2">
        <f>AJ395</f>
        <v>0</v>
      </c>
      <c r="AJ395" s="2">
        <f>AI395*T395</f>
        <v>0</v>
      </c>
      <c r="AK395" s="2">
        <f>T395-W395</f>
        <v>129.6</v>
      </c>
      <c r="AL395" s="5">
        <f>(T395-W395)/T395</f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>(T396-W396)/T396</f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>AJ396</f>
        <v>0</v>
      </c>
      <c r="AJ396" s="2">
        <f>AI396*T396</f>
        <v>0</v>
      </c>
      <c r="AK396" s="2">
        <f>T396-W396</f>
        <v>31.049999999999997</v>
      </c>
      <c r="AL396" s="5">
        <f>(T396-W396)/T396</f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>(T397-W397)/T397</f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>AJ397</f>
        <v>0</v>
      </c>
      <c r="AJ397" s="2">
        <f>AI397*T397</f>
        <v>0</v>
      </c>
      <c r="AK397" s="2">
        <f>T397-W397</f>
        <v>45</v>
      </c>
      <c r="AL397" s="5">
        <f>(T397-W397)/T397</f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>(T398-W398)/T398</f>
        <v>1</v>
      </c>
      <c r="Z398" s="2" t="s">
        <v>120</v>
      </c>
      <c r="AA398" s="2" t="s">
        <v>3384</v>
      </c>
      <c r="AF398" s="2">
        <f>AJ398</f>
        <v>0</v>
      </c>
      <c r="AJ398" s="2">
        <f>AI398*T398</f>
        <v>0</v>
      </c>
      <c r="AK398" s="2">
        <f>T398-W398</f>
        <v>135</v>
      </c>
      <c r="AL398" s="5">
        <f>(T398-W398)/T398</f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>(T399-W399)/T399</f>
        <v>1</v>
      </c>
      <c r="Z399" s="2" t="s">
        <v>118</v>
      </c>
      <c r="AF399" s="2">
        <f>AJ399</f>
        <v>0</v>
      </c>
      <c r="AJ399" s="2">
        <f>AI399*T399</f>
        <v>0</v>
      </c>
      <c r="AK399" s="2">
        <f>T399-W399</f>
        <v>837.98</v>
      </c>
      <c r="AL399" s="5">
        <f>(T399-W399)/T399</f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>AJ400</f>
        <v>0</v>
      </c>
      <c r="AJ400" s="2">
        <f>AI400*T400</f>
        <v>0</v>
      </c>
      <c r="AK400" s="2">
        <f>T400-W400</f>
        <v>0</v>
      </c>
      <c r="AL400" s="5" t="e">
        <f>(T400-W400)/T400</f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>(T401-W401)/T401</f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>AJ401</f>
        <v>0</v>
      </c>
      <c r="AJ401" s="2">
        <f>AI401*T401</f>
        <v>0</v>
      </c>
      <c r="AK401" s="2">
        <f>T401-W401</f>
        <v>45</v>
      </c>
      <c r="AL401" s="5">
        <f>(T401-W401)/T401</f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>(T402-W402)/T402</f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>AJ402</f>
        <v>0</v>
      </c>
      <c r="AJ402" s="2">
        <f>AI402*T402</f>
        <v>0</v>
      </c>
      <c r="AK402" s="2">
        <f>T402-W402</f>
        <v>1.2200000000000002</v>
      </c>
      <c r="AL402" s="5">
        <f>(T402-W402)/T402</f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>(T403-W403)/T403</f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>AJ403</f>
        <v>0</v>
      </c>
      <c r="AJ403" s="2">
        <f>AI403*T403</f>
        <v>0</v>
      </c>
      <c r="AK403" s="2">
        <f>T403-W403</f>
        <v>1.4700000000000006</v>
      </c>
      <c r="AL403" s="5">
        <f>(T403-W403)/T403</f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>(T404-W404)/T404</f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>AJ404</f>
        <v>0</v>
      </c>
      <c r="AJ404" s="2">
        <f>AI404*T404</f>
        <v>0</v>
      </c>
      <c r="AK404" s="2">
        <f>T404-W404</f>
        <v>1.4700000000000006</v>
      </c>
      <c r="AL404" s="5">
        <f>(T404-W404)/T404</f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>(T405-W405)/T405</f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>AJ405</f>
        <v>0</v>
      </c>
      <c r="AG405" s="2">
        <v>10.6</v>
      </c>
      <c r="AH405" s="2">
        <v>18</v>
      </c>
      <c r="AJ405" s="2">
        <f>AI405*T405</f>
        <v>0</v>
      </c>
      <c r="AK405" s="2">
        <f>T405-W405</f>
        <v>14.8</v>
      </c>
      <c r="AL405" s="5">
        <f>(T405-W405)/T405</f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>(T406-W406)/T406</f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>AJ406</f>
        <v>0</v>
      </c>
      <c r="AG406" s="2">
        <v>8.1999999999999993</v>
      </c>
      <c r="AH406" s="2">
        <v>13</v>
      </c>
      <c r="AJ406" s="2">
        <f>AI406*T406</f>
        <v>0</v>
      </c>
      <c r="AK406" s="2">
        <f>T406-W406</f>
        <v>4.7999999999999989</v>
      </c>
      <c r="AL406" s="5">
        <f>(T406-W406)/T406</f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>(T407-W407)/T407</f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>AJ407</f>
        <v>0</v>
      </c>
      <c r="AG407" s="2">
        <v>117.453</v>
      </c>
      <c r="AH407" s="2">
        <v>220</v>
      </c>
      <c r="AJ407" s="2">
        <f>AI407*T407</f>
        <v>0</v>
      </c>
      <c r="AK407" s="2">
        <f>T407-W407</f>
        <v>92.546999999999997</v>
      </c>
      <c r="AL407" s="5">
        <f>(T407-W407)/T407</f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>(T408-W408)/T408</f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>AJ408</f>
        <v>0</v>
      </c>
      <c r="AJ408" s="2">
        <f>AI408*T408</f>
        <v>0</v>
      </c>
      <c r="AK408" s="2">
        <f>T408-W408</f>
        <v>0</v>
      </c>
      <c r="AL408" s="5">
        <f>(T408-W408)/T408</f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F409" s="2" t="s">
        <v>39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>(T409-W409)/T409</f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>AJ409</f>
        <v>0</v>
      </c>
      <c r="AG409" s="2">
        <v>7.2217000000000002</v>
      </c>
      <c r="AH409" s="2">
        <v>14.4</v>
      </c>
      <c r="AJ409" s="2">
        <f>AI409*T409</f>
        <v>0</v>
      </c>
      <c r="AK409" s="2">
        <f>T409-W409</f>
        <v>5.9782999999999991</v>
      </c>
      <c r="AL409" s="5">
        <f>(T409-W409)/T409</f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>(T410-W410)/T410</f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>AJ410</f>
        <v>0</v>
      </c>
      <c r="AG410" s="2">
        <v>9.0749999999999993</v>
      </c>
      <c r="AJ410" s="2">
        <f>AI410*T410</f>
        <v>0</v>
      </c>
      <c r="AK410" s="2">
        <f>T410-W410</f>
        <v>21.375000000000004</v>
      </c>
      <c r="AL410" s="5">
        <f>(T410-W410)/T410</f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>(T411-W411)/T411</f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>AJ411</f>
        <v>0</v>
      </c>
      <c r="AG411" s="2">
        <v>16.224900000000002</v>
      </c>
      <c r="AJ411" s="2">
        <f>AI411*T411</f>
        <v>0</v>
      </c>
      <c r="AK411" s="2">
        <f>T411-W411</f>
        <v>25.150199999999998</v>
      </c>
      <c r="AL411" s="5">
        <f>(T411-W411)/T411</f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>(T412-W412)/T412</f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>AJ412</f>
        <v>0</v>
      </c>
      <c r="AJ412" s="2">
        <f>AI412*T412</f>
        <v>0</v>
      </c>
      <c r="AK412" s="2">
        <f>T412-W412</f>
        <v>75.140000000000015</v>
      </c>
      <c r="AL412" s="5">
        <f>(T412-W412)/T412</f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>(T413-W413)/T413</f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>AJ413</f>
        <v>0</v>
      </c>
      <c r="AG413" s="2">
        <v>1.1399999999999999</v>
      </c>
      <c r="AH413" s="2">
        <v>1.1399999999999999</v>
      </c>
      <c r="AJ413" s="2">
        <f>AI413*T413</f>
        <v>0</v>
      </c>
      <c r="AK413" s="2">
        <f>T413-W413</f>
        <v>0</v>
      </c>
      <c r="AL413" s="5">
        <f>(T413-W413)/T413</f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>(T414-W414)/T414</f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>AJ414</f>
        <v>0</v>
      </c>
      <c r="AJ414" s="2">
        <f>AI414*T414</f>
        <v>0</v>
      </c>
      <c r="AK414" s="2">
        <f>T414-W414</f>
        <v>75.140000000000015</v>
      </c>
      <c r="AL414" s="5">
        <f>(T414-W414)/T414</f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>(T415-W415)/T415</f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>AJ415</f>
        <v>0</v>
      </c>
      <c r="AJ415" s="2">
        <f>AI415*T415</f>
        <v>0</v>
      </c>
      <c r="AK415" s="2">
        <f>T415-W415</f>
        <v>0</v>
      </c>
      <c r="AL415" s="5">
        <f>(T415-W415)/T415</f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>(T416-W416)/T416</f>
        <v>1</v>
      </c>
      <c r="Z416" s="2" t="s">
        <v>118</v>
      </c>
      <c r="AF416" s="2">
        <f>AJ416</f>
        <v>0</v>
      </c>
      <c r="AJ416" s="2">
        <f>AI416*T416</f>
        <v>0</v>
      </c>
      <c r="AK416" s="2">
        <f>T416-W416</f>
        <v>145.07</v>
      </c>
      <c r="AL416" s="5">
        <f>(T416-W416)/T416</f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>(T417-W417)/T417</f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>AJ417</f>
        <v>0</v>
      </c>
      <c r="AJ417" s="2">
        <f>AI417*T417</f>
        <v>0</v>
      </c>
      <c r="AK417" s="2">
        <f>T417-W417</f>
        <v>3.339999999999999</v>
      </c>
      <c r="AL417" s="5">
        <f>(T417-W417)/T417</f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>(T418-W418)/T418</f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>AJ418</f>
        <v>0</v>
      </c>
      <c r="AG418" s="2">
        <v>10.67</v>
      </c>
      <c r="AH418" s="2">
        <v>21</v>
      </c>
      <c r="AJ418" s="2">
        <f>AI418*T418</f>
        <v>0</v>
      </c>
      <c r="AK418" s="2">
        <f>T418-W418</f>
        <v>7.33</v>
      </c>
      <c r="AL418" s="5">
        <f>(T418-W418)/T418</f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>(T419-W419)/T419</f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>AJ419</f>
        <v>0</v>
      </c>
      <c r="AJ419" s="2">
        <f>AI419*T419</f>
        <v>0</v>
      </c>
      <c r="AK419" s="2">
        <f>T419-W419</f>
        <v>22.027999999999999</v>
      </c>
      <c r="AL419" s="5">
        <f>(T419-W419)/T419</f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>(T420-W420)/T420</f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>AJ420</f>
        <v>0</v>
      </c>
      <c r="AJ420" s="2">
        <f>AI420*T420</f>
        <v>0</v>
      </c>
      <c r="AK420" s="2">
        <f>T420-W420</f>
        <v>34.904200000000003</v>
      </c>
      <c r="AL420" s="5">
        <f>(T420-W420)/T420</f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>(T421-W421)/T421</f>
        <v>1</v>
      </c>
      <c r="Z421" s="2" t="s">
        <v>118</v>
      </c>
      <c r="AF421" s="2">
        <f>AJ421</f>
        <v>0</v>
      </c>
      <c r="AJ421" s="2">
        <f>AI421*T421</f>
        <v>0</v>
      </c>
      <c r="AK421" s="2">
        <f>T421-W421</f>
        <v>322.14</v>
      </c>
      <c r="AL421" s="5">
        <f>(T421-W421)/T421</f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>(T422-W422)/T422</f>
        <v>1</v>
      </c>
      <c r="Z422" s="2" t="s">
        <v>118</v>
      </c>
      <c r="AF422" s="2">
        <f>AJ422</f>
        <v>0</v>
      </c>
      <c r="AJ422" s="2">
        <f>AI422*T422</f>
        <v>0</v>
      </c>
      <c r="AK422" s="2">
        <f>T422-W422</f>
        <v>903.76</v>
      </c>
      <c r="AL422" s="5">
        <f>(T422-W422)/T422</f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>(T423-W423)/T423</f>
        <v>1</v>
      </c>
      <c r="Z423" s="2" t="s">
        <v>118</v>
      </c>
      <c r="AF423" s="2">
        <f>AJ423</f>
        <v>0</v>
      </c>
      <c r="AJ423" s="2">
        <f>AI423*T423</f>
        <v>0</v>
      </c>
      <c r="AK423" s="2">
        <f>T423-W423</f>
        <v>46.76</v>
      </c>
      <c r="AL423" s="5">
        <f>(T423-W423)/T423</f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>(T424-W424)/T424</f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>AJ424</f>
        <v>0</v>
      </c>
      <c r="AJ424" s="2">
        <f>AI424*T424</f>
        <v>0</v>
      </c>
      <c r="AK424" s="2">
        <f>T424-W424</f>
        <v>50</v>
      </c>
      <c r="AL424" s="5">
        <f>(T424-W424)/T424</f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>(T425-W425)/T425</f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>AJ425</f>
        <v>0</v>
      </c>
      <c r="AJ425" s="2">
        <f>AI425*T425</f>
        <v>0</v>
      </c>
      <c r="AK425" s="2">
        <f>T425-W425</f>
        <v>9.759999999999998</v>
      </c>
      <c r="AL425" s="5">
        <f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>(T426-W426)/T426</f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>AJ426</f>
        <v>0</v>
      </c>
      <c r="AJ426" s="2">
        <f>AI426*T426</f>
        <v>0</v>
      </c>
      <c r="AK426" s="2">
        <f>T426-W426</f>
        <v>25.730000000000004</v>
      </c>
      <c r="AL426" s="5">
        <f>(T426-W426)/T426</f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>(T427-W427)/T427</f>
        <v>1</v>
      </c>
      <c r="Z427" s="2" t="s">
        <v>118</v>
      </c>
      <c r="AF427" s="2">
        <f>AJ427</f>
        <v>0</v>
      </c>
      <c r="AJ427" s="2">
        <f>AI427*T427</f>
        <v>0</v>
      </c>
      <c r="AK427" s="2">
        <f>T427-W427</f>
        <v>14.29</v>
      </c>
      <c r="AL427" s="5">
        <f>(T427-W427)/T427</f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>(T428-W428)/T428</f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>AJ428</f>
        <v>0</v>
      </c>
      <c r="AG428" s="2">
        <v>8.1999999999999993</v>
      </c>
      <c r="AH428" s="2">
        <v>13</v>
      </c>
      <c r="AJ428" s="2">
        <f>AI428*T428</f>
        <v>0</v>
      </c>
      <c r="AK428" s="2">
        <f>T428-W428</f>
        <v>4.7999999999999989</v>
      </c>
      <c r="AL428" s="5">
        <f>(T428-W428)/T428</f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>(T429-W429)/T429</f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>AJ429</f>
        <v>0</v>
      </c>
      <c r="AG429" s="2">
        <f>110.125+11.77</f>
        <v>121.895</v>
      </c>
      <c r="AJ429" s="2">
        <f>AI429*T429</f>
        <v>0</v>
      </c>
      <c r="AK429" s="2">
        <f>T429-W429</f>
        <v>144.85500000000002</v>
      </c>
      <c r="AL429" s="5">
        <f>(T429-W429)/T429</f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>(T430-W430)/T430</f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>AJ430</f>
        <v>0</v>
      </c>
      <c r="AJ430" s="2">
        <f>AI430*T430</f>
        <v>0</v>
      </c>
      <c r="AK430" s="2">
        <f>T430-W430</f>
        <v>0</v>
      </c>
      <c r="AL430" s="5">
        <f>(T430-W430)/T430</f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>(T431-W431)/T431</f>
        <v>1</v>
      </c>
      <c r="Z431" s="2" t="s">
        <v>118</v>
      </c>
      <c r="AF431" s="2">
        <f>AJ431</f>
        <v>0</v>
      </c>
      <c r="AJ431" s="2">
        <f>AI431*T431</f>
        <v>0</v>
      </c>
      <c r="AK431" s="2">
        <f>T431-W431</f>
        <v>49.81</v>
      </c>
      <c r="AL431" s="5">
        <f>(T431-W431)/T431</f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>(T432-W432)/T432</f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>AJ432</f>
        <v>0</v>
      </c>
      <c r="AJ432" s="2">
        <f>AI432*T432</f>
        <v>0</v>
      </c>
      <c r="AK432" s="2">
        <f>T432-W432</f>
        <v>30</v>
      </c>
      <c r="AL432" s="5">
        <f>(T432-W432)/T432</f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>(T433-W433)/T433</f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>AJ433</f>
        <v>0</v>
      </c>
      <c r="AJ433" s="2">
        <f>AI433*T433</f>
        <v>0</v>
      </c>
      <c r="AK433" s="2">
        <f>T433-W433</f>
        <v>25</v>
      </c>
      <c r="AL433" s="5">
        <f>(T433-W433)/T433</f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>(T434-W434)/T434</f>
        <v>1</v>
      </c>
      <c r="Z434" s="2" t="s">
        <v>118</v>
      </c>
      <c r="AF434" s="2">
        <f>AJ434</f>
        <v>0</v>
      </c>
      <c r="AJ434" s="2">
        <f>AI434*T434</f>
        <v>0</v>
      </c>
      <c r="AK434" s="2">
        <f>T434-W434</f>
        <v>83.79</v>
      </c>
      <c r="AL434" s="5">
        <f>(T434-W434)/T434</f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>(T435-W435)/T435</f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>AJ435</f>
        <v>0</v>
      </c>
      <c r="AJ435" s="2">
        <f>AI435*T435</f>
        <v>0</v>
      </c>
      <c r="AK435" s="2">
        <f>T435-W435</f>
        <v>45.599999999999994</v>
      </c>
      <c r="AL435" s="5">
        <f>(T435-W435)/T435</f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>(T436-W436)/T436</f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>AJ436</f>
        <v>0</v>
      </c>
      <c r="AJ436" s="2">
        <f>AI436*T436</f>
        <v>0</v>
      </c>
      <c r="AK436" s="2">
        <f>T436-W436</f>
        <v>18.75</v>
      </c>
      <c r="AL436" s="5">
        <f>(T436-W436)/T436</f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>(T437-W437)/T437</f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>AJ437</f>
        <v>0</v>
      </c>
      <c r="AG437" s="2">
        <v>117.453</v>
      </c>
      <c r="AH437" s="2">
        <v>220</v>
      </c>
      <c r="AJ437" s="2">
        <f>AI437*T437</f>
        <v>0</v>
      </c>
      <c r="AK437" s="2">
        <f>T437-W437</f>
        <v>92.546999999999997</v>
      </c>
      <c r="AL437" s="5">
        <f>(T437-W437)/T437</f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>(T438-W438)/T438</f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>AJ438</f>
        <v>0</v>
      </c>
      <c r="AJ438" s="2">
        <f>AI438*T438</f>
        <v>0</v>
      </c>
      <c r="AK438" s="2">
        <f>T438-W438</f>
        <v>0</v>
      </c>
      <c r="AL438" s="5">
        <f>(T438-W438)/T438</f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>(T439-W439)/T439</f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>AJ439</f>
        <v>0</v>
      </c>
      <c r="AG439" s="2">
        <v>121.46</v>
      </c>
      <c r="AH439" s="2">
        <v>210</v>
      </c>
      <c r="AJ439" s="2">
        <f>AI439*T439</f>
        <v>0</v>
      </c>
      <c r="AK439" s="2">
        <f>T439-W439</f>
        <v>98.54</v>
      </c>
      <c r="AL439" s="5">
        <f>(T439-W439)/T439</f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>(T440-W440)/T440</f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>AJ440</f>
        <v>0</v>
      </c>
      <c r="AJ440" s="2">
        <f>AI440*T440</f>
        <v>0</v>
      </c>
      <c r="AK440" s="2">
        <f>T440-W440</f>
        <v>0</v>
      </c>
      <c r="AL440" s="5">
        <f>(T440-W440)/T440</f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>(T441-W441)/T441</f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>AJ441</f>
        <v>0</v>
      </c>
      <c r="AG441" s="2">
        <v>10.2346</v>
      </c>
      <c r="AH441" s="2">
        <v>18</v>
      </c>
      <c r="AJ441" s="2">
        <f>AI441*T441</f>
        <v>0</v>
      </c>
      <c r="AK441" s="2">
        <f>T441-W441</f>
        <v>2.4000000000000004</v>
      </c>
      <c r="AL441" s="5">
        <f>(T441-W441)/T441</f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>(T442-W442)/T442</f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>AJ442</f>
        <v>0</v>
      </c>
      <c r="AG442" s="2">
        <v>3.7357999999999998</v>
      </c>
      <c r="AH442" s="2">
        <v>9</v>
      </c>
      <c r="AJ442" s="2">
        <f>AI442*T442</f>
        <v>0</v>
      </c>
      <c r="AK442" s="2">
        <f>T442-W442</f>
        <v>4.0641999999999996</v>
      </c>
      <c r="AL442" s="5">
        <f>(T442-W442)/T442</f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>(T443-W443)/T443</f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>AJ443</f>
        <v>0</v>
      </c>
      <c r="AG443" s="2">
        <v>8.1999999999999993</v>
      </c>
      <c r="AH443" s="2">
        <v>13</v>
      </c>
      <c r="AJ443" s="2">
        <f>AI443*T443</f>
        <v>0</v>
      </c>
      <c r="AK443" s="2">
        <f>T443-W443</f>
        <v>9.5999999999999979</v>
      </c>
      <c r="AL443" s="5">
        <f>(T443-W443)/T443</f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>(T444-W444)/T444</f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>AJ444</f>
        <v>0</v>
      </c>
      <c r="AG444" s="2">
        <v>15.020300000000001</v>
      </c>
      <c r="AH444" s="2">
        <v>27.6</v>
      </c>
      <c r="AJ444" s="2">
        <f>AI444*T444</f>
        <v>0</v>
      </c>
      <c r="AK444" s="2">
        <f>T444-W444</f>
        <v>5.9796999999999993</v>
      </c>
      <c r="AL444" s="5">
        <f>(T444-W444)/T444</f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>(T445-W445)/T445</f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>AJ445</f>
        <v>0</v>
      </c>
      <c r="AJ445" s="2">
        <f>AI445*T445</f>
        <v>0</v>
      </c>
      <c r="AK445" s="2">
        <f>T445-W445</f>
        <v>16.29</v>
      </c>
      <c r="AL445" s="5">
        <f>(T445-W445)/T445</f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>(T446-W446)/T446</f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>AJ446</f>
        <v>0</v>
      </c>
      <c r="AJ446" s="2">
        <f>AI446*T446</f>
        <v>0</v>
      </c>
      <c r="AK446" s="2">
        <f>T446-W446</f>
        <v>63.9</v>
      </c>
      <c r="AL446" s="5">
        <f>(T446-W446)/T446</f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>(T447-W447)/T447</f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>AJ447</f>
        <v>0</v>
      </c>
      <c r="AJ447" s="2">
        <f>AI447*T447</f>
        <v>0</v>
      </c>
      <c r="AK447" s="2">
        <f>T447-W447</f>
        <v>22.5</v>
      </c>
      <c r="AL447" s="5">
        <f>(T447-W447)/T447</f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>(T448-W448)/T448</f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>AJ448</f>
        <v>0</v>
      </c>
      <c r="AJ448" s="2">
        <f>AI448*T448</f>
        <v>0</v>
      </c>
      <c r="AK448" s="2">
        <f>T448-W448</f>
        <v>813.00750000000016</v>
      </c>
      <c r="AL448" s="5">
        <f>(T448-W448)/T448</f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>(T449-W449)/T449</f>
        <v>1</v>
      </c>
      <c r="Z449" s="2" t="s">
        <v>118</v>
      </c>
      <c r="AF449" s="2">
        <f>AJ449</f>
        <v>0</v>
      </c>
      <c r="AJ449" s="2">
        <f>AI449*T449</f>
        <v>0</v>
      </c>
      <c r="AK449" s="2">
        <f>T449-W449</f>
        <v>218.59</v>
      </c>
      <c r="AL449" s="5">
        <f>(T449-W449)/T449</f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>(T450-W450)/T450</f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>AJ450</f>
        <v>0</v>
      </c>
      <c r="AG450" s="2">
        <v>122.446</v>
      </c>
      <c r="AH450" s="2">
        <v>230</v>
      </c>
      <c r="AJ450" s="2">
        <f>AI450*T450</f>
        <v>0</v>
      </c>
      <c r="AK450" s="2">
        <f>T450-W450</f>
        <v>97.554000000000002</v>
      </c>
      <c r="AL450" s="5">
        <f>(T450-W450)/T450</f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>(T451-W451)/T451</f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>AJ451</f>
        <v>0</v>
      </c>
      <c r="AJ451" s="2">
        <f>AI451*T451</f>
        <v>0</v>
      </c>
      <c r="AK451" s="2">
        <f>T451-W451</f>
        <v>0</v>
      </c>
      <c r="AL451" s="5">
        <f>(T451-W451)/T451</f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>(T452-W452)/T452</f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>AJ452</f>
        <v>0</v>
      </c>
      <c r="AG452" s="2">
        <v>120.636</v>
      </c>
      <c r="AH452" s="2">
        <v>220</v>
      </c>
      <c r="AJ452" s="2">
        <f>AI452*T452</f>
        <v>0</v>
      </c>
      <c r="AK452" s="2">
        <f>T452-W452</f>
        <v>79.364000000000004</v>
      </c>
      <c r="AL452" s="5">
        <f>(T452-W452)/T452</f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>(T453-W453)/T453</f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>AJ453</f>
        <v>0</v>
      </c>
      <c r="AG453" s="2">
        <v>1.1399999999999999</v>
      </c>
      <c r="AH453" s="2">
        <v>1.1399999999999999</v>
      </c>
      <c r="AJ453" s="2">
        <f>AI453*T453</f>
        <v>0</v>
      </c>
      <c r="AK453" s="2">
        <f>T453-W453</f>
        <v>0</v>
      </c>
      <c r="AL453" s="5">
        <f>(T453-W453)/T453</f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>AJ454</f>
        <v>0</v>
      </c>
      <c r="AJ454" s="2">
        <f>AI454*T454</f>
        <v>0</v>
      </c>
      <c r="AK454" s="2">
        <f>T454-W454</f>
        <v>22.027999999999999</v>
      </c>
      <c r="AL454" s="5">
        <f>(T454-W454)/T454</f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>AJ455</f>
        <v>0</v>
      </c>
      <c r="AJ455" s="2">
        <f>AI455*T455</f>
        <v>0</v>
      </c>
      <c r="AK455" s="2">
        <f>T455-W455</f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>AJ456</f>
        <v>0</v>
      </c>
      <c r="AG456" s="2">
        <v>1244.2445</v>
      </c>
      <c r="AJ456" s="2">
        <f>AI456*T456</f>
        <v>0</v>
      </c>
      <c r="AK456" s="2">
        <f>T456-W456</f>
        <v>255.75549999999998</v>
      </c>
      <c r="AL456" s="5">
        <f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>(T457-W457)/T457</f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>AJ457</f>
        <v>0</v>
      </c>
      <c r="AJ457" s="2">
        <f>AI457*T457</f>
        <v>0</v>
      </c>
      <c r="AK457" s="2">
        <f>T457-W457</f>
        <v>6660.1200000000008</v>
      </c>
      <c r="AL457" s="5">
        <f>(T457-W457)/T457</f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>(T458-W458)/T458</f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>AJ458</f>
        <v>0</v>
      </c>
      <c r="AJ458" s="2">
        <f>AI458*T458</f>
        <v>0</v>
      </c>
      <c r="AK458" s="2">
        <f>T458-W458</f>
        <v>5320.6</v>
      </c>
      <c r="AL458" s="5">
        <f>(T458-W458)/T458</f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>(T459-W459)/T459</f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>AJ459</f>
        <v>0</v>
      </c>
      <c r="AJ459" s="2">
        <f>AI459*T459</f>
        <v>0</v>
      </c>
      <c r="AK459" s="2">
        <f>T459-W459</f>
        <v>1157.3699999999999</v>
      </c>
      <c r="AL459" s="5">
        <f>(T459-W459)/T459</f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>(T460-W460)/T460</f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>AJ460</f>
        <v>0</v>
      </c>
      <c r="AJ460" s="2">
        <f>AI460*T460</f>
        <v>0</v>
      </c>
      <c r="AK460" s="2">
        <f>T460-W460</f>
        <v>60</v>
      </c>
      <c r="AL460" s="5">
        <f>(T460-W460)/T460</f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>(T461-W461)/T461</f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>AJ461</f>
        <v>0</v>
      </c>
      <c r="AJ461" s="2">
        <f>AI461*T461</f>
        <v>0</v>
      </c>
      <c r="AK461" s="2">
        <f>T461-W461</f>
        <v>68.75</v>
      </c>
      <c r="AL461" s="5">
        <f>(T461-W461)/T461</f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>(T462-W462)/T462</f>
        <v>1</v>
      </c>
      <c r="Z462" s="2" t="s">
        <v>120</v>
      </c>
      <c r="AA462" s="2" t="s">
        <v>3384</v>
      </c>
      <c r="AF462" s="2">
        <f>AJ462</f>
        <v>0</v>
      </c>
      <c r="AJ462" s="2">
        <f>AI462*T462</f>
        <v>0</v>
      </c>
      <c r="AK462" s="2">
        <f>T462-W462</f>
        <v>105.73</v>
      </c>
      <c r="AL462" s="5">
        <f>(T462-W462)/T462</f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>(T463-W463)/T463</f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>AJ463</f>
        <v>0</v>
      </c>
      <c r="AG463" s="2">
        <v>6.6266999999999996</v>
      </c>
      <c r="AH463" s="2">
        <v>12</v>
      </c>
      <c r="AJ463" s="2">
        <f>AI463*T463</f>
        <v>0</v>
      </c>
      <c r="AK463" s="2">
        <f>T463-W463</f>
        <v>5.3733000000000004</v>
      </c>
      <c r="AL463" s="5">
        <f>(T463-W463)/T463</f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>(T464-W464)/T464</f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>AJ464</f>
        <v>0</v>
      </c>
      <c r="AG464" s="2">
        <v>10.6</v>
      </c>
      <c r="AH464" s="2">
        <v>18</v>
      </c>
      <c r="AJ464" s="2">
        <f>AI464*T464</f>
        <v>0</v>
      </c>
      <c r="AK464" s="2">
        <f>T464-W464</f>
        <v>14.8</v>
      </c>
      <c r="AL464" s="5">
        <f>(T464-W464)/T464</f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>(T465-W465)/T465</f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>AJ465</f>
        <v>0</v>
      </c>
      <c r="AG465" s="2">
        <v>9.14</v>
      </c>
      <c r="AH465" s="2">
        <v>16</v>
      </c>
      <c r="AJ465" s="2">
        <f>AI465*T465</f>
        <v>0</v>
      </c>
      <c r="AK465" s="2">
        <f>T465-W465</f>
        <v>3.8600000000000012</v>
      </c>
      <c r="AL465" s="5">
        <f>(T465-W465)/T465</f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>(T466-W466)/T466</f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>AJ466</f>
        <v>0</v>
      </c>
      <c r="AG466" s="2">
        <v>117.453</v>
      </c>
      <c r="AH466" s="2">
        <v>220</v>
      </c>
      <c r="AJ466" s="2">
        <f>AI466*T466</f>
        <v>0</v>
      </c>
      <c r="AK466" s="2">
        <f>T466-W466</f>
        <v>82.546999999999997</v>
      </c>
      <c r="AL466" s="5">
        <f>(T466-W466)/T466</f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>(T467-W467)/T467</f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>AJ467</f>
        <v>0</v>
      </c>
      <c r="AJ467" s="2">
        <f>AI467*T467</f>
        <v>0</v>
      </c>
      <c r="AK467" s="2">
        <f>T467-W467</f>
        <v>0</v>
      </c>
      <c r="AL467" s="5">
        <f>(T467-W467)/T467</f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>AJ468</f>
        <v>0</v>
      </c>
      <c r="AJ468" s="2">
        <f>AI468*T468</f>
        <v>0</v>
      </c>
      <c r="AK468" s="2">
        <f>T468-W468</f>
        <v>0</v>
      </c>
      <c r="AL468" s="5" t="e">
        <f>(T468-W468)/T468</f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>AJ469</f>
        <v>0</v>
      </c>
      <c r="AJ469" s="2">
        <f>AI469*T469</f>
        <v>0</v>
      </c>
      <c r="AK469" s="2">
        <f>T469-W469</f>
        <v>0</v>
      </c>
      <c r="AL469" s="5" t="e">
        <f>(T469-W469)/T469</f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>(T470-W470)/T470</f>
        <v>1</v>
      </c>
      <c r="Z470" s="2" t="s">
        <v>120</v>
      </c>
      <c r="AA470" s="2" t="s">
        <v>3384</v>
      </c>
      <c r="AF470" s="2">
        <f>AJ470</f>
        <v>0</v>
      </c>
      <c r="AJ470" s="2">
        <f>AI470*T470</f>
        <v>0</v>
      </c>
      <c r="AK470" s="2">
        <f>T470-W470</f>
        <v>17.47</v>
      </c>
      <c r="AL470" s="5">
        <f>(T470-W470)/T470</f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>(T471-W471)/T471</f>
        <v>1</v>
      </c>
      <c r="Z471" s="2" t="s">
        <v>120</v>
      </c>
      <c r="AA471" s="2" t="s">
        <v>493</v>
      </c>
      <c r="AF471" s="2">
        <f>AJ471</f>
        <v>0</v>
      </c>
      <c r="AJ471" s="2">
        <f>AI471*T471</f>
        <v>0</v>
      </c>
      <c r="AK471" s="2">
        <f>T471-W471</f>
        <v>650</v>
      </c>
      <c r="AL471" s="5">
        <f>(T471-W471)/T471</f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>(T472-W472)/T472</f>
        <v>0.85955555555555563</v>
      </c>
      <c r="Z472" s="2" t="s">
        <v>3231</v>
      </c>
      <c r="AA472" s="2" t="s">
        <v>156</v>
      </c>
      <c r="AB472" s="2" t="s">
        <v>3386</v>
      </c>
      <c r="AC472" s="2" t="s">
        <v>78</v>
      </c>
      <c r="AF472" s="2">
        <f>AJ472</f>
        <v>0</v>
      </c>
      <c r="AJ472" s="2">
        <f>AI472*T472</f>
        <v>0</v>
      </c>
      <c r="AK472" s="2">
        <f>T472-W472</f>
        <v>193.4</v>
      </c>
      <c r="AL472" s="5">
        <f>(T472-W472)/T472</f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>(T473-W473)/T473</f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>AJ473</f>
        <v>0</v>
      </c>
      <c r="AG473" s="2">
        <v>9.3000000000000007</v>
      </c>
      <c r="AH473" s="2">
        <v>21</v>
      </c>
      <c r="AJ473" s="2">
        <f>AI473*T473</f>
        <v>0</v>
      </c>
      <c r="AK473" s="2">
        <f>T473-W473</f>
        <v>8.6999999999999993</v>
      </c>
      <c r="AL473" s="5">
        <f>(T473-W473)/T473</f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>(T474-W474)/T474</f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>AJ474</f>
        <v>0</v>
      </c>
      <c r="AJ474" s="2">
        <f>AI474*T474</f>
        <v>0</v>
      </c>
      <c r="AK474" s="2">
        <f>T474-W474</f>
        <v>9.2650000000000006</v>
      </c>
      <c r="AL474" s="5">
        <f>(T474-W474)/T474</f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>(T475-W475)/T475</f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>AJ475</f>
        <v>0</v>
      </c>
      <c r="AG475" s="2">
        <v>10.2346</v>
      </c>
      <c r="AH475" s="2">
        <v>18</v>
      </c>
      <c r="AJ475" s="2">
        <f>AI475*T475</f>
        <v>0</v>
      </c>
      <c r="AK475" s="2">
        <f>T475-W475</f>
        <v>2.4000000000000004</v>
      </c>
      <c r="AL475" s="5">
        <f>(T475-W475)/T475</f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>(T476-W476)/T476</f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>AJ476</f>
        <v>0</v>
      </c>
      <c r="AJ476" s="2">
        <f>AI476*T476</f>
        <v>0</v>
      </c>
      <c r="AK476" s="2">
        <f>T476-W476</f>
        <v>8.8000000000000007</v>
      </c>
      <c r="AL476" s="5">
        <f>(T476-W476)/T476</f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>(T477-W477)/T477</f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>AJ477</f>
        <v>0</v>
      </c>
      <c r="AJ477" s="2">
        <f>AI477*T477</f>
        <v>0</v>
      </c>
      <c r="AK477" s="2">
        <f>T477-W477</f>
        <v>99.75</v>
      </c>
      <c r="AL477" s="5">
        <f>(T477-W477)/T477</f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>(T478-W478)/T478</f>
        <v>1</v>
      </c>
      <c r="Z478" s="2" t="s">
        <v>118</v>
      </c>
      <c r="AF478" s="2">
        <f>AJ478</f>
        <v>0</v>
      </c>
      <c r="AJ478" s="2">
        <f>AI478*T478</f>
        <v>0</v>
      </c>
      <c r="AK478" s="2">
        <f>T478-W478</f>
        <v>-80.349999999999994</v>
      </c>
      <c r="AL478" s="5">
        <f>(T478-W478)/T478</f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>(T479-W479)/T479</f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>AJ479</f>
        <v>0</v>
      </c>
      <c r="AG479" s="2">
        <v>10.6</v>
      </c>
      <c r="AH479" s="2">
        <v>18</v>
      </c>
      <c r="AJ479" s="2">
        <f>AI479*T479</f>
        <v>0</v>
      </c>
      <c r="AK479" s="2">
        <f>T479-W479</f>
        <v>14.8</v>
      </c>
      <c r="AL479" s="5">
        <f>(T479-W479)/T479</f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>(T480-W480)/T480</f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>AJ480</f>
        <v>0</v>
      </c>
      <c r="AJ480" s="2">
        <f>AI480*T480</f>
        <v>0</v>
      </c>
      <c r="AK480" s="2">
        <f>T480-W480</f>
        <v>4.04</v>
      </c>
      <c r="AL480" s="5">
        <f>(T480-W480)/T480</f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>(T481-W481)/T481</f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>AJ481</f>
        <v>0</v>
      </c>
      <c r="AJ481" s="2">
        <f>AI481*T481</f>
        <v>0</v>
      </c>
      <c r="AK481" s="2">
        <f>T481-W481</f>
        <v>28.709999999999994</v>
      </c>
      <c r="AL481" s="5">
        <f>(T481-W481)/T481</f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>(T482-W482)/T482</f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>AJ482</f>
        <v>0</v>
      </c>
      <c r="AG482" s="2">
        <v>10.67</v>
      </c>
      <c r="AH482" s="2">
        <v>21</v>
      </c>
      <c r="AJ482" s="2">
        <f>AI482*T482</f>
        <v>0</v>
      </c>
      <c r="AK482" s="2">
        <f>T482-W482</f>
        <v>7.33</v>
      </c>
      <c r="AL482" s="5">
        <f>(T482-W482)/T482</f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>(T483-W483)/T483</f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>AJ483</f>
        <v>0</v>
      </c>
      <c r="AG483" s="2">
        <v>6.6266999999999996</v>
      </c>
      <c r="AH483" s="2">
        <v>12</v>
      </c>
      <c r="AJ483" s="2">
        <f>AI483*T483</f>
        <v>0</v>
      </c>
      <c r="AK483" s="2">
        <f>T483-W483</f>
        <v>43.733000000000004</v>
      </c>
      <c r="AL483" s="5">
        <f>(T483-W483)/T483</f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>(T484-W484)/T484</f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>AJ484</f>
        <v>0</v>
      </c>
      <c r="AG484" s="2">
        <v>10.2346</v>
      </c>
      <c r="AH484" s="2">
        <v>18</v>
      </c>
      <c r="AJ484" s="2">
        <f>AI484*T484</f>
        <v>0</v>
      </c>
      <c r="AK484" s="2">
        <f>T484-W484</f>
        <v>2.4000000000000004</v>
      </c>
      <c r="AL484" s="5">
        <f>(T484-W484)/T484</f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>(T485-W485)/T485</f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>AJ485</f>
        <v>0</v>
      </c>
      <c r="AG485" s="2">
        <v>14.12</v>
      </c>
      <c r="AH485" s="2">
        <v>28.8</v>
      </c>
      <c r="AJ485" s="2">
        <f>AI485*T485</f>
        <v>0</v>
      </c>
      <c r="AK485" s="2">
        <f>T485-W485</f>
        <v>12.28</v>
      </c>
      <c r="AL485" s="5">
        <f>(T485-W485)/T485</f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>(T486-W486)/T486</f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>AJ486</f>
        <v>0</v>
      </c>
      <c r="AJ486" s="2">
        <f>AI486*T486</f>
        <v>0</v>
      </c>
      <c r="AK486" s="2">
        <f>T486-W486</f>
        <v>30</v>
      </c>
      <c r="AL486" s="5">
        <f>(T486-W486)/T486</f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>(T487-W487)/T487</f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>AJ487</f>
        <v>0</v>
      </c>
      <c r="AJ487" s="2">
        <f>AI487*T487</f>
        <v>0</v>
      </c>
      <c r="AK487" s="2">
        <f>T487-W487</f>
        <v>25</v>
      </c>
      <c r="AL487" s="5">
        <f>(T487-W487)/T487</f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>AJ488</f>
        <v>0</v>
      </c>
      <c r="AJ488" s="2">
        <f>AI488*T488</f>
        <v>0</v>
      </c>
      <c r="AK488" s="2">
        <f>T488-W488</f>
        <v>0</v>
      </c>
      <c r="AL488" s="5" t="e">
        <f>(T488-W488)/T488</f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>AJ489</f>
        <v>0</v>
      </c>
      <c r="AJ489" s="2">
        <f>AI489*T489</f>
        <v>0</v>
      </c>
      <c r="AK489" s="2">
        <f>T489-W489</f>
        <v>4750</v>
      </c>
      <c r="AL489" s="5">
        <f>(T489-W489)/T489</f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>AJ490</f>
        <v>0</v>
      </c>
      <c r="AJ490" s="2">
        <f>AI490*T490</f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>(T491-W491)/T491</f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>AJ491</f>
        <v>0</v>
      </c>
      <c r="AG491" s="2">
        <v>10.2346</v>
      </c>
      <c r="AH491" s="2">
        <v>18</v>
      </c>
      <c r="AJ491" s="2">
        <f>AI491*T491</f>
        <v>0</v>
      </c>
      <c r="AK491" s="2">
        <f>T491-W491</f>
        <v>2.4000000000000004</v>
      </c>
      <c r="AL491" s="5">
        <f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>(T492-W492)/T492</f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>AJ492</f>
        <v>0</v>
      </c>
      <c r="AJ492" s="2">
        <f>AI492*T492</f>
        <v>0</v>
      </c>
      <c r="AK492" s="2">
        <f>T492-W492</f>
        <v>8.8000000000000007</v>
      </c>
      <c r="AL492" s="5">
        <f>(T492-W492)/T492</f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>(T493-W493)/T493</f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>AJ493</f>
        <v>0</v>
      </c>
      <c r="AJ493" s="2">
        <f>AI493*T493</f>
        <v>0</v>
      </c>
      <c r="AK493" s="2">
        <f>T493-W493</f>
        <v>10.569199999999999</v>
      </c>
      <c r="AL493" s="5">
        <f>(T493-W493)/T493</f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>(T494-W494)/T494</f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>AJ494</f>
        <v>0</v>
      </c>
      <c r="AG494" s="2">
        <v>10.6</v>
      </c>
      <c r="AH494" s="2">
        <v>18</v>
      </c>
      <c r="AJ494" s="2">
        <f>AI494*T494</f>
        <v>0</v>
      </c>
      <c r="AK494" s="2">
        <f>T494-W494</f>
        <v>14.8</v>
      </c>
      <c r="AL494" s="5">
        <f>(T494-W494)/T494</f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>(T495-W495)/T495</f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>AJ495</f>
        <v>0</v>
      </c>
      <c r="AG495" s="2">
        <v>117.453</v>
      </c>
      <c r="AH495" s="2">
        <v>220</v>
      </c>
      <c r="AJ495" s="2">
        <f>AI495*T495</f>
        <v>0</v>
      </c>
      <c r="AK495" s="2">
        <f>T495-W495</f>
        <v>72.466999999999985</v>
      </c>
      <c r="AL495" s="5">
        <f>(T495-W495)/T495</f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>(T496-W496)/T496</f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>AJ496</f>
        <v>0</v>
      </c>
      <c r="AG496" s="2">
        <v>1.1399999999999999</v>
      </c>
      <c r="AH496" s="2">
        <v>1.1399999999999999</v>
      </c>
      <c r="AJ496" s="2">
        <f>AI496*T496</f>
        <v>0</v>
      </c>
      <c r="AK496" s="2">
        <f>T496-W496</f>
        <v>0</v>
      </c>
      <c r="AL496" s="5">
        <f>(T496-W496)/T496</f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>(T497-W497)/T497</f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>AJ497</f>
        <v>0</v>
      </c>
      <c r="AJ497" s="2">
        <f>AI497*T497</f>
        <v>0</v>
      </c>
      <c r="AK497" s="2">
        <f>T497-W497</f>
        <v>2459.4300000000003</v>
      </c>
      <c r="AL497" s="5">
        <f>(T497-W497)/T497</f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>(T498-W498)/T498</f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>AJ498</f>
        <v>0</v>
      </c>
      <c r="AG498" s="2">
        <v>10.6</v>
      </c>
      <c r="AH498" s="2">
        <v>18</v>
      </c>
      <c r="AJ498" s="2">
        <f>AI498*T498</f>
        <v>0</v>
      </c>
      <c r="AK498" s="2">
        <f>T498-W498</f>
        <v>108</v>
      </c>
      <c r="AL498" s="5">
        <f>(T498-W498)/T498</f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>(T499-W499)/T499</f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>AJ499</f>
        <v>0</v>
      </c>
      <c r="AG499" s="2">
        <v>8.1999999999999993</v>
      </c>
      <c r="AH499" s="2">
        <v>13</v>
      </c>
      <c r="AJ499" s="2">
        <f>AI499*T499</f>
        <v>0</v>
      </c>
      <c r="AK499" s="2">
        <f>T499-W499</f>
        <v>46</v>
      </c>
      <c r="AL499" s="5">
        <f>(T499-W499)/T499</f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>(T500-W500)/T500</f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>AJ500</f>
        <v>0</v>
      </c>
      <c r="AG500" s="2">
        <v>117.453</v>
      </c>
      <c r="AH500" s="2">
        <v>220</v>
      </c>
      <c r="AJ500" s="2">
        <f>AI500*T500</f>
        <v>0</v>
      </c>
      <c r="AK500" s="2">
        <f>T500-W500</f>
        <v>72.546999999999997</v>
      </c>
      <c r="AL500" s="5">
        <f>(T500-W500)/T500</f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>(T501-W501)/T501</f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>AJ501</f>
        <v>0</v>
      </c>
      <c r="AJ501" s="2">
        <f>AI501*T501</f>
        <v>0</v>
      </c>
      <c r="AK501" s="2">
        <f>T501-W501</f>
        <v>0</v>
      </c>
      <c r="AL501" s="5">
        <f>(T501-W501)/T501</f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>(T502-W502)/T502</f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>AJ502</f>
        <v>0</v>
      </c>
      <c r="AG502" s="2">
        <v>117.453</v>
      </c>
      <c r="AH502" s="2">
        <v>220</v>
      </c>
      <c r="AJ502" s="2">
        <f>AI502*T502</f>
        <v>0</v>
      </c>
      <c r="AK502" s="2">
        <f>T502-W502</f>
        <v>97.546999999999997</v>
      </c>
      <c r="AL502" s="5">
        <f>(T502-W502)/T502</f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>(T503-W503)/T503</f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>AJ503</f>
        <v>0</v>
      </c>
      <c r="AJ503" s="2">
        <f>AI503*T503</f>
        <v>0</v>
      </c>
      <c r="AK503" s="2">
        <f>T503-W503</f>
        <v>0</v>
      </c>
      <c r="AL503" s="5">
        <f>(T503-W503)/T503</f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>(T504-W504)/T504</f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>AJ504</f>
        <v>0</v>
      </c>
      <c r="AJ504" s="2">
        <f>AI504*T504</f>
        <v>0</v>
      </c>
      <c r="AK504" s="2">
        <f>T504-W504</f>
        <v>106.83</v>
      </c>
      <c r="AL504" s="5">
        <f>(T504-W504)/T504</f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>(T505-W505)/T505</f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>AJ505</f>
        <v>0</v>
      </c>
      <c r="AJ505" s="2">
        <f>AI505*T505</f>
        <v>0</v>
      </c>
      <c r="AK505" s="2">
        <f>T505-W505</f>
        <v>0</v>
      </c>
      <c r="AL505" s="5">
        <f>(T505-W505)/T505</f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>(T506-W506)/T506</f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>AJ506</f>
        <v>0</v>
      </c>
      <c r="AG506" s="2">
        <v>1.4114</v>
      </c>
      <c r="AH506" s="2">
        <v>3</v>
      </c>
      <c r="AJ506" s="2">
        <f>AI506*T506</f>
        <v>0</v>
      </c>
      <c r="AK506" s="2">
        <f>T506-W506</f>
        <v>19.771999999999998</v>
      </c>
      <c r="AL506" s="5">
        <f>(T506-W506)/T506</f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>(T507-W507)/T507</f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>AJ507</f>
        <v>0</v>
      </c>
      <c r="AG507" s="2">
        <v>3.7357999999999998</v>
      </c>
      <c r="AH507" s="2">
        <v>9</v>
      </c>
      <c r="AJ507" s="2">
        <f>AI507*T507</f>
        <v>0</v>
      </c>
      <c r="AK507" s="2">
        <f>T507-W507</f>
        <v>4.0641999999999996</v>
      </c>
      <c r="AL507" s="5">
        <f>(T507-W507)/T507</f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>(T508-W508)/T508</f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>AJ508</f>
        <v>0</v>
      </c>
      <c r="AJ508" s="2">
        <f>AI508*T508</f>
        <v>0</v>
      </c>
      <c r="AK508" s="2">
        <f>T508-W508</f>
        <v>59.808399999999999</v>
      </c>
      <c r="AL508" s="5">
        <f>(T508-W508)/T508</f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>AJ509</f>
        <v>0</v>
      </c>
      <c r="AJ509" s="2">
        <f>AI509*T509</f>
        <v>0</v>
      </c>
      <c r="AK509" s="2">
        <f>T509-W509</f>
        <v>-15.12</v>
      </c>
      <c r="AL509" s="5">
        <f>(T509-W509)/T509</f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>(T510-W510)/T510</f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>AJ510</f>
        <v>0</v>
      </c>
      <c r="AG510" s="2">
        <v>120.636</v>
      </c>
      <c r="AH510" s="2">
        <v>220</v>
      </c>
      <c r="AJ510" s="2">
        <f>AI510*T510</f>
        <v>0</v>
      </c>
      <c r="AK510" s="2">
        <f>T510-W510</f>
        <v>69.364000000000004</v>
      </c>
      <c r="AL510" s="5">
        <f>(T510-W510)/T510</f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>(T511-W511)/T511</f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>AJ511</f>
        <v>0</v>
      </c>
      <c r="AJ511" s="2">
        <f>AI511*T511</f>
        <v>0</v>
      </c>
      <c r="AK511" s="2">
        <f>T511-W511</f>
        <v>0</v>
      </c>
      <c r="AL511" s="5">
        <f>(T511-W511)/T511</f>
        <v>0</v>
      </c>
    </row>
    <row r="512" spans="1:38" x14ac:dyDescent="0.2">
      <c r="A512" s="2">
        <v>2025</v>
      </c>
      <c r="B512" s="2">
        <v>2</v>
      </c>
      <c r="C512" s="2" t="s">
        <v>3476</v>
      </c>
      <c r="D512" s="2" t="s">
        <v>899</v>
      </c>
      <c r="E512" s="2" t="s">
        <v>38</v>
      </c>
      <c r="F512" s="2" t="s">
        <v>39</v>
      </c>
      <c r="L512" s="2" t="s">
        <v>100</v>
      </c>
      <c r="M512" s="2" t="s">
        <v>81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>(T512-W512)/T512</f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>AJ512</f>
        <v>0</v>
      </c>
      <c r="AG512" s="2">
        <v>9.14</v>
      </c>
      <c r="AH512" s="2">
        <v>16</v>
      </c>
      <c r="AJ512" s="2">
        <f>AI512*T512</f>
        <v>0</v>
      </c>
      <c r="AK512" s="2">
        <f>T512-W512</f>
        <v>13.600000000000009</v>
      </c>
      <c r="AL512" s="5">
        <f>(T512-W512)/T512</f>
        <v>0.1295238095238096</v>
      </c>
    </row>
    <row r="513" spans="1:38" x14ac:dyDescent="0.2">
      <c r="A513" s="2">
        <v>2025</v>
      </c>
      <c r="B513" s="2">
        <v>2</v>
      </c>
      <c r="C513" s="2" t="s">
        <v>3476</v>
      </c>
      <c r="D513" s="2" t="s">
        <v>899</v>
      </c>
      <c r="E513" s="2" t="s">
        <v>38</v>
      </c>
      <c r="F513" s="2" t="s">
        <v>39</v>
      </c>
      <c r="L513" s="2" t="s">
        <v>100</v>
      </c>
      <c r="M513" s="2" t="s">
        <v>81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>(T513-W513)/T513</f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>AJ513</f>
        <v>0</v>
      </c>
      <c r="AG513" s="2">
        <v>8.1999999999999993</v>
      </c>
      <c r="AH513" s="2">
        <v>13</v>
      </c>
      <c r="AJ513" s="2">
        <f>AI513*T513</f>
        <v>0</v>
      </c>
      <c r="AK513" s="2">
        <f>T513-W513</f>
        <v>23</v>
      </c>
      <c r="AL513" s="5">
        <f>(T513-W513)/T513</f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>(T514-W514)/T514</f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>AJ514</f>
        <v>0</v>
      </c>
      <c r="AG514" s="2">
        <v>42.36</v>
      </c>
      <c r="AJ514" s="2">
        <f>AI514*T514</f>
        <v>0</v>
      </c>
      <c r="AK514" s="2">
        <f>T514-W514</f>
        <v>38.340000000000003</v>
      </c>
      <c r="AL514" s="5">
        <f>(T514-W514)/T514</f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>(T515-W515)/T515</f>
        <v>1</v>
      </c>
      <c r="Z515" s="2" t="s">
        <v>120</v>
      </c>
      <c r="AA515" s="2" t="s">
        <v>3384</v>
      </c>
      <c r="AF515" s="2">
        <f>AJ515</f>
        <v>0</v>
      </c>
      <c r="AJ515" s="2">
        <f>AI515*T515</f>
        <v>0</v>
      </c>
      <c r="AK515" s="2">
        <f>T515-W515</f>
        <v>135</v>
      </c>
      <c r="AL515" s="5">
        <f>(T515-W515)/T515</f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>(T516-W516)/T516</f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>AJ516</f>
        <v>0</v>
      </c>
      <c r="AG516" s="2">
        <v>9.14</v>
      </c>
      <c r="AH516" s="2">
        <v>16</v>
      </c>
      <c r="AJ516" s="2">
        <f>AI516*T516</f>
        <v>0</v>
      </c>
      <c r="AK516" s="2">
        <f>T516-W516</f>
        <v>11.580000000000002</v>
      </c>
      <c r="AL516" s="5">
        <f>(T516-W516)/T516</f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>(T517-W517)/T517</f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>AJ517</f>
        <v>0</v>
      </c>
      <c r="AG517" s="2">
        <v>8.1999999999999993</v>
      </c>
      <c r="AH517" s="2">
        <v>13</v>
      </c>
      <c r="AJ517" s="2">
        <f>AI517*T517</f>
        <v>0</v>
      </c>
      <c r="AK517" s="2">
        <f>T517-W517</f>
        <v>11.399999999999999</v>
      </c>
      <c r="AL517" s="5">
        <f>(T517-W517)/T517</f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>(T518-W518)/T518</f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>AJ518</f>
        <v>0</v>
      </c>
      <c r="AG518" s="2">
        <v>15.020300000000001</v>
      </c>
      <c r="AH518" s="2">
        <v>27.6</v>
      </c>
      <c r="AJ518" s="2">
        <f>AI518*T518</f>
        <v>0</v>
      </c>
      <c r="AK518" s="2">
        <f>T518-W518</f>
        <v>5.9796999999999993</v>
      </c>
      <c r="AL518" s="5">
        <f>(T518-W518)/T518</f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>(T519-W519)/T519</f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>AJ519</f>
        <v>0</v>
      </c>
      <c r="AJ519" s="2">
        <f>AI519*T519</f>
        <v>0</v>
      </c>
      <c r="AK519" s="2">
        <f>T519-W519</f>
        <v>88.953200000000038</v>
      </c>
      <c r="AL519" s="5">
        <f>(T519-W519)/T519</f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>(T520-W520)/T520</f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>AJ520</f>
        <v>0</v>
      </c>
      <c r="AJ520" s="2">
        <f>AI520*T520</f>
        <v>0</v>
      </c>
      <c r="AK520" s="2">
        <f>T520-W520</f>
        <v>225</v>
      </c>
      <c r="AL520" s="5">
        <f>(T520-W520)/T520</f>
        <v>0.25</v>
      </c>
    </row>
    <row r="521" spans="1:38" x14ac:dyDescent="0.2">
      <c r="A521" s="2">
        <v>2025</v>
      </c>
      <c r="B521" s="2">
        <v>2</v>
      </c>
      <c r="C521" s="2" t="s">
        <v>3406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>(T521-W521)/T521</f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>AJ521</f>
        <v>0</v>
      </c>
      <c r="AJ521" s="2">
        <f>AI521*T521</f>
        <v>0</v>
      </c>
      <c r="AK521" s="2">
        <f>T521-W521</f>
        <v>138.01999999999998</v>
      </c>
      <c r="AL521" s="5">
        <f>(T521-W521)/T521</f>
        <v>0.53084615384615375</v>
      </c>
    </row>
    <row r="522" spans="1:38" x14ac:dyDescent="0.2">
      <c r="A522" s="2">
        <v>2025</v>
      </c>
      <c r="B522" s="2">
        <v>2</v>
      </c>
      <c r="C522" s="2" t="s">
        <v>3406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>(T522-W522)/T522</f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>AJ522</f>
        <v>0</v>
      </c>
      <c r="AG522" s="2">
        <v>1.1399999999999999</v>
      </c>
      <c r="AH522" s="2">
        <v>1.1399999999999999</v>
      </c>
      <c r="AJ522" s="2">
        <f>AI522*T522</f>
        <v>0</v>
      </c>
      <c r="AK522" s="2">
        <f>T522-W522</f>
        <v>0</v>
      </c>
      <c r="AL522" s="5">
        <f>(T522-W522)/T522</f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>(T523-W523)/T523</f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>AJ523</f>
        <v>0</v>
      </c>
      <c r="AJ523" s="2">
        <f>AI523*T523</f>
        <v>0</v>
      </c>
      <c r="AK523" s="2">
        <f>T523-W523</f>
        <v>354.09659999999997</v>
      </c>
      <c r="AL523" s="5">
        <f>(T523-W523)/T523</f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>(T524-W524)/T524</f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>AJ524</f>
        <v>0</v>
      </c>
      <c r="AJ524" s="2">
        <f>AI524*T524</f>
        <v>0</v>
      </c>
      <c r="AK524" s="2">
        <f>T524-W524</f>
        <v>70.199999999999989</v>
      </c>
      <c r="AL524" s="5">
        <f>(T524-W524)/T524</f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>(T525-W525)/T525</f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>AJ525</f>
        <v>0</v>
      </c>
      <c r="AJ525" s="2">
        <f>AI525*T525</f>
        <v>0</v>
      </c>
      <c r="AK525" s="2">
        <f>T525-W525</f>
        <v>50</v>
      </c>
      <c r="AL525" s="5">
        <f>(T525-W525)/T525</f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>(T526-W526)/T526</f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>AJ526</f>
        <v>0</v>
      </c>
      <c r="AG526" s="2">
        <v>10.6</v>
      </c>
      <c r="AH526" s="2">
        <v>18</v>
      </c>
      <c r="AJ526" s="2">
        <f>AI526*T526</f>
        <v>0</v>
      </c>
      <c r="AK526" s="2">
        <f>T526-W526</f>
        <v>7.4</v>
      </c>
      <c r="AL526" s="5">
        <f>(T526-W526)/T526</f>
        <v>0.41111111111111115</v>
      </c>
    </row>
    <row r="527" spans="1:38" x14ac:dyDescent="0.2">
      <c r="A527" s="2">
        <v>2025</v>
      </c>
      <c r="B527" s="2">
        <v>2</v>
      </c>
      <c r="C527" s="2" t="s">
        <v>3406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>(T527-W527)/T527</f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>AJ527</f>
        <v>0</v>
      </c>
      <c r="AG527" s="2">
        <v>117.453</v>
      </c>
      <c r="AH527" s="2">
        <v>220</v>
      </c>
      <c r="AJ527" s="2">
        <f>AI527*T527</f>
        <v>0</v>
      </c>
      <c r="AK527" s="2">
        <f>T527-W527</f>
        <v>87.546999999999997</v>
      </c>
      <c r="AL527" s="5">
        <f>(T527-W527)/T527</f>
        <v>0.42705853658536586</v>
      </c>
    </row>
    <row r="528" spans="1:38" x14ac:dyDescent="0.2">
      <c r="A528" s="2">
        <v>2025</v>
      </c>
      <c r="B528" s="2">
        <v>2</v>
      </c>
      <c r="C528" s="2" t="s">
        <v>3406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>(T528-W528)/T528</f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>AJ528</f>
        <v>0</v>
      </c>
      <c r="AJ528" s="2">
        <f>AI528*T528</f>
        <v>0</v>
      </c>
      <c r="AK528" s="2">
        <f>T528-W528</f>
        <v>0</v>
      </c>
      <c r="AL528" s="5">
        <f>(T528-W528)/T528</f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>AJ529</f>
        <v>0</v>
      </c>
      <c r="AG529" s="2">
        <v>121.46</v>
      </c>
      <c r="AH529" s="2">
        <v>210</v>
      </c>
      <c r="AJ529" s="2">
        <f>AI529*T529</f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>SIGN(T530)*((ABS(T530)-W530)/ABS(T530))</f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>AJ530</f>
        <v>0</v>
      </c>
      <c r="AJ530" s="2">
        <f>AI530*T530</f>
        <v>0</v>
      </c>
      <c r="AK530" s="2">
        <f>T530+(W530)</f>
        <v>0</v>
      </c>
      <c r="AL530" s="18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>AJ531</f>
        <v>0</v>
      </c>
      <c r="AJ531" s="2">
        <f>AI531*T531</f>
        <v>0</v>
      </c>
      <c r="AK531" s="2">
        <f>T531-W531</f>
        <v>483.69659999999999</v>
      </c>
      <c r="AL531" s="5">
        <f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>(T532-W532)/T532</f>
        <v>1</v>
      </c>
      <c r="Z532" s="2" t="s">
        <v>118</v>
      </c>
      <c r="AF532" s="2">
        <f>AJ532</f>
        <v>0</v>
      </c>
      <c r="AJ532" s="2">
        <f>AI532*T532</f>
        <v>0</v>
      </c>
      <c r="AK532" s="2">
        <f>T532-W532</f>
        <v>374</v>
      </c>
      <c r="AL532" s="5">
        <f>(T532-W532)/T532</f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>(T533-W533)/T533</f>
        <v>1</v>
      </c>
      <c r="Z533" s="2" t="s">
        <v>118</v>
      </c>
      <c r="AF533" s="2">
        <f>AJ533</f>
        <v>0</v>
      </c>
      <c r="AJ533" s="2">
        <f>AI533*T533</f>
        <v>0</v>
      </c>
      <c r="AK533" s="2">
        <f>T533-W533</f>
        <v>773</v>
      </c>
      <c r="AL533" s="5">
        <f>(T533-W533)/T533</f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>T534</f>
        <v>16.8</v>
      </c>
      <c r="X534" s="5">
        <f>(T534-W534)/T534</f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>AJ534</f>
        <v>0</v>
      </c>
      <c r="AJ534" s="2">
        <f>AI534*T534</f>
        <v>0</v>
      </c>
      <c r="AK534" s="2">
        <f>T534-W534</f>
        <v>16.8</v>
      </c>
      <c r="AL534" s="5">
        <f>(T534-W534)/T534</f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>T535</f>
        <v>19.2</v>
      </c>
      <c r="X535" s="5">
        <f>(T535-W535)/T535</f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>AJ535</f>
        <v>0</v>
      </c>
      <c r="AJ535" s="2">
        <f>AI535*T535</f>
        <v>0</v>
      </c>
      <c r="AK535" s="2">
        <f>T535-W535</f>
        <v>19.2</v>
      </c>
      <c r="AL535" s="5">
        <f>(T535-W535)/T535</f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>T536</f>
        <v>110</v>
      </c>
      <c r="W536" s="2">
        <f>0.082*S536</f>
        <v>82</v>
      </c>
      <c r="X536" s="5">
        <f>(T536-W536)/T536</f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>AJ536</f>
        <v>0</v>
      </c>
      <c r="AG536" s="2">
        <v>8.1999999999999993</v>
      </c>
      <c r="AH536" s="2">
        <v>13</v>
      </c>
      <c r="AJ536" s="2">
        <f>AI536*T536</f>
        <v>0</v>
      </c>
      <c r="AK536" s="2">
        <f>T536-W536</f>
        <v>28</v>
      </c>
      <c r="AL536" s="5">
        <f>(T536-W536)/T536</f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>T537</f>
        <v>21</v>
      </c>
      <c r="W537" s="2">
        <f>7.9612*S537</f>
        <v>7.9611999999999998</v>
      </c>
      <c r="X537" s="5">
        <f>(T537-W537)/T537</f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>AJ537</f>
        <v>0</v>
      </c>
      <c r="AG537" s="2">
        <v>7.9611999999999998</v>
      </c>
      <c r="AH537" s="2">
        <v>14.4</v>
      </c>
      <c r="AJ537" s="2">
        <f>AI537*T537</f>
        <v>0</v>
      </c>
      <c r="AK537" s="2">
        <f>T537-W537</f>
        <v>13.0388</v>
      </c>
      <c r="AL537" s="5">
        <f>(T537-W537)/T537</f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>T538</f>
        <v>21</v>
      </c>
      <c r="W538" s="2">
        <f>15.0203*S538</f>
        <v>15.020300000000001</v>
      </c>
      <c r="X538" s="5">
        <f>(T538-W538)/T538</f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>AJ538</f>
        <v>0</v>
      </c>
      <c r="AG538" s="2">
        <v>15.020300000000001</v>
      </c>
      <c r="AH538" s="2">
        <v>27.6</v>
      </c>
      <c r="AJ538" s="2">
        <f>AI538*T538</f>
        <v>0</v>
      </c>
      <c r="AK538" s="2">
        <f>T538-W538</f>
        <v>5.9796999999999993</v>
      </c>
      <c r="AL538" s="5">
        <f>(T538-W538)/T538</f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>T539</f>
        <v>3.6</v>
      </c>
      <c r="X539" s="5">
        <f>(T539-W539)/T539</f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>AJ539</f>
        <v>0</v>
      </c>
      <c r="AJ539" s="2">
        <f>AI539*T539</f>
        <v>0</v>
      </c>
      <c r="AK539" s="2">
        <f>T539-W539</f>
        <v>3.6</v>
      </c>
      <c r="AL539" s="5">
        <f>(T539-W539)/T539</f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>T540</f>
        <v>6</v>
      </c>
      <c r="W540" s="2">
        <v>2.94</v>
      </c>
      <c r="X540" s="5">
        <f>(T540-W540)/T540</f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>AJ540</f>
        <v>0</v>
      </c>
      <c r="AJ540" s="2">
        <f>AI540*T540</f>
        <v>0</v>
      </c>
      <c r="AK540" s="2">
        <f>T540-W540</f>
        <v>3.06</v>
      </c>
      <c r="AL540" s="5">
        <f>(T540-W540)/T540</f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>(T541-W541)/T541</f>
        <v>1</v>
      </c>
      <c r="AF541" s="2">
        <f>AJ541</f>
        <v>0</v>
      </c>
      <c r="AJ541" s="2">
        <f>AI541*T541</f>
        <v>0</v>
      </c>
      <c r="AK541" s="2">
        <f>T541-W541</f>
        <v>129.94999999999999</v>
      </c>
      <c r="AL541" s="5">
        <f>(T541-W541)/T541</f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>(T542-W542)/T542</f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>AJ542</f>
        <v>0</v>
      </c>
      <c r="AG542" s="2">
        <v>117.453</v>
      </c>
      <c r="AH542" s="2">
        <v>220</v>
      </c>
      <c r="AJ542" s="2">
        <f>AI542*T542</f>
        <v>0</v>
      </c>
      <c r="AK542" s="2">
        <f>T542-W542</f>
        <v>185.09399999999999</v>
      </c>
      <c r="AL542" s="5">
        <f>(T542-W542)/T542</f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>(T543-W543)/T543</f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>AJ543</f>
        <v>0</v>
      </c>
      <c r="AJ543" s="2">
        <f>AI543*T543</f>
        <v>0</v>
      </c>
      <c r="AK543" s="2">
        <f>T543-W543</f>
        <v>0</v>
      </c>
      <c r="AL543" s="5">
        <f>(T543-W543)/T543</f>
        <v>0</v>
      </c>
    </row>
    <row r="544" spans="1:38" x14ac:dyDescent="0.2">
      <c r="A544" s="2">
        <v>2025</v>
      </c>
      <c r="B544" s="2">
        <v>3</v>
      </c>
      <c r="C544" s="2" t="s">
        <v>3477</v>
      </c>
      <c r="D544" s="2" t="s">
        <v>941</v>
      </c>
      <c r="E544" s="2" t="s">
        <v>38</v>
      </c>
      <c r="F544" s="2" t="s">
        <v>39</v>
      </c>
      <c r="L544" s="2" t="s">
        <v>100</v>
      </c>
      <c r="M544" s="2" t="s">
        <v>81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>(T544-W544)/T544</f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>AJ544</f>
        <v>0</v>
      </c>
      <c r="AG544" s="2">
        <v>10.6</v>
      </c>
      <c r="AH544" s="2">
        <v>18</v>
      </c>
      <c r="AJ544" s="2">
        <f>AI544*T544</f>
        <v>0</v>
      </c>
      <c r="AK544" s="2">
        <f>T544-W544</f>
        <v>7.4</v>
      </c>
      <c r="AL544" s="5">
        <f>(T544-W544)/T544</f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>(T545-W545)/T545</f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>AJ545</f>
        <v>0</v>
      </c>
      <c r="AG545" s="2">
        <v>291.58999999999997</v>
      </c>
      <c r="AH545" s="2">
        <v>450</v>
      </c>
      <c r="AJ545" s="2">
        <f>AI545*T545</f>
        <v>0</v>
      </c>
      <c r="AK545" s="2">
        <f>T545-W545</f>
        <v>328.82000000000005</v>
      </c>
      <c r="AL545" s="5">
        <f>(T545-W545)/T545</f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>(T546-W546)/T546</f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>AJ546</f>
        <v>0</v>
      </c>
      <c r="AJ546" s="2">
        <f>AI546*T546</f>
        <v>0</v>
      </c>
      <c r="AK546" s="2">
        <f>T546-W546</f>
        <v>0</v>
      </c>
      <c r="AL546" s="5">
        <f>(T546-W546)/T546</f>
        <v>0</v>
      </c>
    </row>
    <row r="547" spans="1:38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>(T547-W547)/T547</f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>AJ547</f>
        <v>0</v>
      </c>
      <c r="AJ547" s="2">
        <f>AI547*T547</f>
        <v>0</v>
      </c>
      <c r="AK547" s="2">
        <f>T547-W547</f>
        <v>7.3649999999999984</v>
      </c>
      <c r="AL547" s="5">
        <f>(T547-W547)/T547</f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>(T548-W548)/T548</f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>AJ548</f>
        <v>0</v>
      </c>
      <c r="AG548" s="2">
        <v>10.6</v>
      </c>
      <c r="AH548" s="2">
        <v>18</v>
      </c>
      <c r="AJ548" s="2">
        <f>AI548*T548</f>
        <v>0</v>
      </c>
      <c r="AK548" s="2">
        <f>T548-W548</f>
        <v>14.8</v>
      </c>
      <c r="AL548" s="5">
        <f>(T548-W548)/T548</f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>(T549-W549)/T549</f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>AJ549</f>
        <v>0</v>
      </c>
      <c r="AG549" s="2">
        <v>8.1999999999999993</v>
      </c>
      <c r="AH549" s="2">
        <v>13</v>
      </c>
      <c r="AJ549" s="2">
        <f>AI549*T549</f>
        <v>0</v>
      </c>
      <c r="AK549" s="2">
        <f>T549-W549</f>
        <v>9.5999999999999979</v>
      </c>
      <c r="AL549" s="5">
        <f>(T549-W549)/T549</f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>(T550-W550)/T550</f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>AJ550</f>
        <v>0</v>
      </c>
      <c r="AJ550" s="2">
        <f>AI550*T550</f>
        <v>0</v>
      </c>
      <c r="AK550" s="2">
        <f>T550-W550</f>
        <v>2.25</v>
      </c>
      <c r="AL550" s="5">
        <f>(T550-W550)/T550</f>
        <v>0.3125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>(T551-W551)/T551</f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>AJ551</f>
        <v>0</v>
      </c>
      <c r="AJ551" s="2">
        <f>AI551*T551</f>
        <v>0</v>
      </c>
      <c r="AK551" s="2">
        <f>T551-W551</f>
        <v>11.770000000000001</v>
      </c>
      <c r="AL551" s="5">
        <f>(T551-W551)/T551</f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>(T552-W552)/T552</f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>AJ552</f>
        <v>0</v>
      </c>
      <c r="AJ552" s="2">
        <f>AI552*T552</f>
        <v>0</v>
      </c>
      <c r="AK552" s="2">
        <f>T552-W552</f>
        <v>7.3649999999999984</v>
      </c>
      <c r="AL552" s="5">
        <f>(T552-W552)/T552</f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>(T553-W553)/T553</f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>AJ553</f>
        <v>0</v>
      </c>
      <c r="AJ553" s="2">
        <f>AI553*T553</f>
        <v>0</v>
      </c>
      <c r="AK553" s="2">
        <f>T553-W553</f>
        <v>7.125</v>
      </c>
      <c r="AL553" s="5">
        <f>(T553-W553)/T553</f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>(T554-W554)/T554</f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>AJ554</f>
        <v>0</v>
      </c>
      <c r="AJ554" s="2">
        <f>AI554*T554</f>
        <v>0</v>
      </c>
      <c r="AK554" s="2">
        <f>T554-W554</f>
        <v>39.6</v>
      </c>
      <c r="AL554" s="5">
        <f>(T554-W554)/T554</f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>(T555-W555)/T555</f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>AJ555</f>
        <v>0</v>
      </c>
      <c r="AG555" s="2">
        <v>8.1999999999999993</v>
      </c>
      <c r="AH555" s="2">
        <v>13</v>
      </c>
      <c r="AJ555" s="2">
        <f>AI555*T555</f>
        <v>0</v>
      </c>
      <c r="AK555" s="2">
        <f>T555-W555</f>
        <v>4.7999999999999989</v>
      </c>
      <c r="AL555" s="5">
        <f>(T555-W555)/T555</f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>(T556-W556)/T556</f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>AJ556</f>
        <v>0</v>
      </c>
      <c r="AJ556" s="2">
        <f>AI556*T556</f>
        <v>0</v>
      </c>
      <c r="AK556" s="2">
        <f>T556-W556</f>
        <v>13.720000000000002</v>
      </c>
      <c r="AL556" s="5">
        <f>(T556-W556)/T556</f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>(T557-W557)/T557</f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>AJ557</f>
        <v>0</v>
      </c>
      <c r="AJ557" s="2">
        <f>AI557*T557</f>
        <v>0</v>
      </c>
      <c r="AK557" s="2">
        <f>T557-W557</f>
        <v>30</v>
      </c>
      <c r="AL557" s="5">
        <f>(T557-W557)/T557</f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>(T558-W558)/T558</f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>AJ558</f>
        <v>0</v>
      </c>
      <c r="AJ558" s="2">
        <f>AI558*T558</f>
        <v>0</v>
      </c>
      <c r="AK558" s="2">
        <f>T558-W558</f>
        <v>37.5</v>
      </c>
      <c r="AL558" s="5">
        <f>(T558-W558)/T558</f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>(T559-W559)/T559</f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>AJ559</f>
        <v>0</v>
      </c>
      <c r="AG559" s="2">
        <v>6.6266999999999996</v>
      </c>
      <c r="AH559" s="2">
        <v>12</v>
      </c>
      <c r="AJ559" s="2">
        <f>AI559*T559</f>
        <v>0</v>
      </c>
      <c r="AK559" s="2">
        <f>T559-W559</f>
        <v>5.3733000000000004</v>
      </c>
      <c r="AL559" s="5">
        <f>(T559-W559)/T559</f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>(T560-W560)/T560</f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>AJ560</f>
        <v>0</v>
      </c>
      <c r="AJ560" s="2">
        <f>AI560*T560</f>
        <v>0</v>
      </c>
      <c r="AK560" s="2">
        <f>T560-W560</f>
        <v>3.06</v>
      </c>
      <c r="AL560" s="5">
        <f>(T560-W560)/T560</f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>(T561-W561)/T561</f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>AJ561</f>
        <v>0</v>
      </c>
      <c r="AJ561" s="2">
        <f>AI561*T561</f>
        <v>0</v>
      </c>
      <c r="AK561" s="2">
        <f>T561-W561</f>
        <v>3.4948999999999999</v>
      </c>
      <c r="AL561" s="5">
        <f>(T561-W561)/T561</f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>AJ562</f>
        <v>0</v>
      </c>
      <c r="AG562" s="2">
        <v>187.99</v>
      </c>
      <c r="AJ562" s="2">
        <f>AI562*T562</f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>AJ563</f>
        <v>0</v>
      </c>
      <c r="AJ563" s="2">
        <f>AI563*T563</f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>AJ564</f>
        <v>0</v>
      </c>
      <c r="AG564" s="2">
        <v>10.38</v>
      </c>
      <c r="AJ564" s="2">
        <f>AI564*T564</f>
        <v>0</v>
      </c>
      <c r="AK564" s="2">
        <f>T564-W564</f>
        <v>6.99</v>
      </c>
      <c r="AL564" s="5">
        <f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>(T565-W565)/T565</f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>AJ565</f>
        <v>0</v>
      </c>
      <c r="AG565" s="2">
        <v>14.4</v>
      </c>
      <c r="AJ565" s="2">
        <f>AI565*T565</f>
        <v>0</v>
      </c>
      <c r="AK565" s="2">
        <f>T565-W565</f>
        <v>16.920000000000002</v>
      </c>
      <c r="AL565" s="5">
        <f>(T565-W565)/T565</f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>(T566-W566)/T566</f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>AJ566</f>
        <v>0</v>
      </c>
      <c r="AJ566" s="2">
        <f>AI566*T566</f>
        <v>0</v>
      </c>
      <c r="AK566" s="2">
        <f>T566-W566</f>
        <v>711.51099999999997</v>
      </c>
      <c r="AL566" s="5">
        <f>(T566-W566)/T566</f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>(T567-W567)/T567</f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>AJ567</f>
        <v>0</v>
      </c>
      <c r="AJ567" s="2">
        <f>AI567*T567</f>
        <v>0</v>
      </c>
      <c r="AK567" s="2">
        <f>T567-W567</f>
        <v>4230.6000000000004</v>
      </c>
      <c r="AL567" s="5">
        <f>(T567-W567)/T567</f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>(T568-W568)/T568</f>
        <v>1</v>
      </c>
      <c r="Z568" s="2" t="s">
        <v>105</v>
      </c>
      <c r="AF568" s="2">
        <f>AJ568</f>
        <v>0</v>
      </c>
      <c r="AJ568" s="2">
        <f>AI568*T568</f>
        <v>0</v>
      </c>
      <c r="AK568" s="2">
        <f>T568-W568</f>
        <v>5500</v>
      </c>
      <c r="AL568" s="5">
        <f>(T568-W568)/T568</f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>(T569-W569)/T569</f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>AJ569</f>
        <v>0</v>
      </c>
      <c r="AG569" s="2">
        <v>6468.73</v>
      </c>
      <c r="AJ569" s="2">
        <f>AI569*T569</f>
        <v>0</v>
      </c>
      <c r="AK569" s="2">
        <f>T569-W569</f>
        <v>3431.2700000000004</v>
      </c>
      <c r="AL569" s="5">
        <f>(T569-W569)/T569</f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>(T570-W570)/T570</f>
        <v>1</v>
      </c>
      <c r="Z570" s="2" t="s">
        <v>105</v>
      </c>
      <c r="AF570" s="2">
        <f>AJ570</f>
        <v>0</v>
      </c>
      <c r="AJ570" s="2">
        <f>AI570*T570</f>
        <v>0</v>
      </c>
      <c r="AK570" s="2">
        <f>T570-W570</f>
        <v>3400</v>
      </c>
      <c r="AL570" s="5">
        <f>(T570-W570)/T570</f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>(T571-W571)/T571</f>
        <v>1</v>
      </c>
      <c r="Z571" s="2" t="s">
        <v>105</v>
      </c>
      <c r="AF571" s="2">
        <f>AJ571</f>
        <v>0</v>
      </c>
      <c r="AJ571" s="2">
        <f>AI571*T571</f>
        <v>0</v>
      </c>
      <c r="AK571" s="2">
        <f>T571-W571</f>
        <v>3600</v>
      </c>
      <c r="AL571" s="5">
        <f>(T571-W571)/T571</f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>(T572-W572)/T572</f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>AJ572</f>
        <v>0</v>
      </c>
      <c r="AJ572" s="2">
        <f>AI572*T572</f>
        <v>0</v>
      </c>
      <c r="AK572" s="2">
        <f>T572-W572</f>
        <v>354.09659999999997</v>
      </c>
      <c r="AL572" s="5">
        <f>(T572-W572)/T572</f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>(T573-W573)/T573</f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>AJ573</f>
        <v>0</v>
      </c>
      <c r="AJ573" s="2">
        <f>AI573*T573</f>
        <v>0</v>
      </c>
      <c r="AK573" s="2">
        <f>T573-W573</f>
        <v>45</v>
      </c>
      <c r="AL573" s="5">
        <f>(T573-W573)/T573</f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>(T574-W574)/T574</f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>AJ574</f>
        <v>0</v>
      </c>
      <c r="AJ574" s="2">
        <f>AI574*T574</f>
        <v>0</v>
      </c>
      <c r="AK574" s="2">
        <f>T574-W574</f>
        <v>25</v>
      </c>
      <c r="AL574" s="5">
        <f>(T574-W574)/T574</f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>(T575-W575)/T575</f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>AJ575</f>
        <v>0</v>
      </c>
      <c r="AG575" s="2">
        <v>9.14</v>
      </c>
      <c r="AH575" s="2">
        <v>16</v>
      </c>
      <c r="AJ575" s="2">
        <f>AI575*T575</f>
        <v>0</v>
      </c>
      <c r="AK575" s="2">
        <f>T575-W575</f>
        <v>28.600000000000009</v>
      </c>
      <c r="AL575" s="5">
        <f>(T575-W575)/T575</f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>(T576-W576)/T576</f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>AJ576</f>
        <v>0</v>
      </c>
      <c r="AJ576" s="2">
        <f>AI576*T576</f>
        <v>0</v>
      </c>
      <c r="AK576" s="2">
        <f>T576-W576</f>
        <v>217.33</v>
      </c>
      <c r="AL576" s="5">
        <f>(T576-W576)/T576</f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>(T577-W577)/T577</f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>AJ577</f>
        <v>0</v>
      </c>
      <c r="AJ577" s="2">
        <f>AI577*T577</f>
        <v>0</v>
      </c>
      <c r="AK577" s="2">
        <f>T577-W577</f>
        <v>0</v>
      </c>
      <c r="AL577" s="5">
        <f>(T577-W577)/T577</f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>(T578-W578)/T578</f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>AJ578</f>
        <v>0</v>
      </c>
      <c r="AG578" s="2">
        <v>1.77</v>
      </c>
      <c r="AH578" s="2">
        <v>5</v>
      </c>
      <c r="AJ578" s="2">
        <f>AI578*T578</f>
        <v>0</v>
      </c>
      <c r="AK578" s="2">
        <f>T578-W578</f>
        <v>22.3</v>
      </c>
      <c r="AL578" s="5">
        <f>(T578-W578)/T578</f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>(T579-W579)/T579</f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>AJ579</f>
        <v>0</v>
      </c>
      <c r="AJ579" s="2">
        <f>AI579*T579</f>
        <v>0</v>
      </c>
      <c r="AK579" s="2">
        <f>T579-W579</f>
        <v>150</v>
      </c>
      <c r="AL579" s="5">
        <f>(T579-W579)/T579</f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>(T580-W580)/T580</f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>AJ580</f>
        <v>0</v>
      </c>
      <c r="AJ580" s="2">
        <f>AI580*T580</f>
        <v>0</v>
      </c>
      <c r="AK580" s="2">
        <f>T580-W580</f>
        <v>127.53719999999998</v>
      </c>
      <c r="AL580" s="5">
        <f>(T580-W580)/T580</f>
        <v>0.3664862068965517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>(T581-W581)/T581</f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>AJ581</f>
        <v>0</v>
      </c>
      <c r="AJ581" s="2">
        <f>AI581*T581</f>
        <v>0</v>
      </c>
      <c r="AK581" s="2">
        <f>T581-W581</f>
        <v>580</v>
      </c>
      <c r="AL581" s="5">
        <f>(T581-W581)/T581</f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>(T582-W582)/T582</f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>AJ582</f>
        <v>0</v>
      </c>
      <c r="AJ582" s="2">
        <f>AI582*T582</f>
        <v>0</v>
      </c>
      <c r="AK582" s="2">
        <f>T582-W582</f>
        <v>30</v>
      </c>
      <c r="AL582" s="5">
        <f>(T582-W582)/T582</f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>(T583-W583)/T583</f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>AJ583</f>
        <v>0</v>
      </c>
      <c r="AJ583" s="2">
        <f>AI583*T583</f>
        <v>0</v>
      </c>
      <c r="AK583" s="2">
        <f>T583-W583</f>
        <v>25</v>
      </c>
      <c r="AL583" s="5">
        <f>(T583-W583)/T583</f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>(T584-W584)/T584</f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>AJ584</f>
        <v>0</v>
      </c>
      <c r="AG584" s="2">
        <f>37.85+0.16</f>
        <v>38.01</v>
      </c>
      <c r="AJ584" s="2">
        <f>AI584*T584</f>
        <v>0</v>
      </c>
      <c r="AK584" s="2">
        <f>T584-W584</f>
        <v>38.920000000000009</v>
      </c>
      <c r="AL584" s="5">
        <f>(T584-W584)/T584</f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>(T585-W585)/T585</f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>AJ585</f>
        <v>0</v>
      </c>
      <c r="AJ585" s="2">
        <f>AI585*T585</f>
        <v>0</v>
      </c>
      <c r="AK585" s="2">
        <f>T585-W585</f>
        <v>117</v>
      </c>
      <c r="AL585" s="5">
        <f>(T585-W585)/T585</f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>(T586-W586)/T586</f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>AJ586</f>
        <v>0</v>
      </c>
      <c r="AJ586" s="2">
        <f>AI586*T586</f>
        <v>0</v>
      </c>
      <c r="AK586" s="2">
        <f>T586-W586</f>
        <v>50</v>
      </c>
      <c r="AL586" s="5">
        <f>(T586-W586)/T586</f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>(T587-W587)/T587</f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>AJ587</f>
        <v>0</v>
      </c>
      <c r="AG587" s="2">
        <v>15.020300000000001</v>
      </c>
      <c r="AH587" s="2">
        <v>27.6</v>
      </c>
      <c r="AJ587" s="2">
        <f>AI587*T587</f>
        <v>0</v>
      </c>
      <c r="AK587" s="2">
        <f>T587-W587</f>
        <v>23.918799999999997</v>
      </c>
      <c r="AL587" s="5">
        <f>(T587-W587)/T587</f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E588" s="2" t="s">
        <v>38</v>
      </c>
      <c r="F588" s="2" t="s">
        <v>39</v>
      </c>
      <c r="L588" s="2" t="s">
        <v>419</v>
      </c>
      <c r="M588" s="2" t="s">
        <v>41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>(T588-W588)/T588</f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>AJ588</f>
        <v>0</v>
      </c>
      <c r="AG588" s="2">
        <v>6.6266999999999996</v>
      </c>
      <c r="AH588" s="2">
        <v>12</v>
      </c>
      <c r="AJ588" s="2">
        <f>AI588*T588</f>
        <v>0</v>
      </c>
      <c r="AK588" s="2">
        <f>T588-W588</f>
        <v>10.746600000000001</v>
      </c>
      <c r="AL588" s="5">
        <f>(T588-W588)/T588</f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E589" s="2" t="s">
        <v>38</v>
      </c>
      <c r="F589" s="2" t="s">
        <v>39</v>
      </c>
      <c r="L589" s="2" t="s">
        <v>419</v>
      </c>
      <c r="M589" s="2" t="s">
        <v>41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>(T589-W589)/T589</f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>AJ589</f>
        <v>0</v>
      </c>
      <c r="AG589" s="2">
        <v>9.14</v>
      </c>
      <c r="AH589" s="2">
        <v>16</v>
      </c>
      <c r="AJ589" s="2">
        <f>AI589*T589</f>
        <v>0</v>
      </c>
      <c r="AK589" s="2">
        <f>T589-W589</f>
        <v>3.8600000000000012</v>
      </c>
      <c r="AL589" s="5">
        <f>(T589-W589)/T589</f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>(T590-W590)/T590</f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>AJ590</f>
        <v>0</v>
      </c>
      <c r="AJ590" s="2">
        <f>AI590*T590</f>
        <v>0</v>
      </c>
      <c r="AK590" s="2">
        <f>T590-W590</f>
        <v>5.04</v>
      </c>
      <c r="AL590" s="5">
        <f>(T590-W590)/T590</f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>(T591-W591)/T591</f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>AJ591</f>
        <v>0</v>
      </c>
      <c r="AG591" s="2">
        <v>117.453</v>
      </c>
      <c r="AH591" s="2">
        <v>220</v>
      </c>
      <c r="AJ591" s="2">
        <f>AI591*T591</f>
        <v>0</v>
      </c>
      <c r="AK591" s="2">
        <f>T591-W591</f>
        <v>92.546999999999997</v>
      </c>
      <c r="AL591" s="5">
        <f>(T591-W591)/T591</f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>(T592-W592)/T592</f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>AJ592</f>
        <v>0</v>
      </c>
      <c r="AG592" s="2">
        <v>1.1399999999999999</v>
      </c>
      <c r="AH592" s="2">
        <v>1.1399999999999999</v>
      </c>
      <c r="AJ592" s="2">
        <f>AI592*T592</f>
        <v>0</v>
      </c>
      <c r="AK592" s="2">
        <f>T592-W592</f>
        <v>0</v>
      </c>
      <c r="AL592" s="5">
        <f>(T592-W592)/T592</f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>(T593-W593)/T593</f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>AJ593</f>
        <v>0</v>
      </c>
      <c r="AG593" s="2">
        <v>0.7</v>
      </c>
      <c r="AJ593" s="2">
        <f>AI593*T593</f>
        <v>0</v>
      </c>
      <c r="AK593" s="2">
        <f>T593-W593</f>
        <v>28.8</v>
      </c>
      <c r="AL593" s="5">
        <f>(T593-W593)/T593</f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>(T594-W594)/T594</f>
        <v>1</v>
      </c>
      <c r="Z594" s="2" t="s">
        <v>170</v>
      </c>
      <c r="AA594" s="2" t="s">
        <v>170</v>
      </c>
      <c r="AF594" s="2">
        <f>AJ594</f>
        <v>0</v>
      </c>
      <c r="AJ594" s="2">
        <f>AI594*T594</f>
        <v>0</v>
      </c>
      <c r="AK594" s="2">
        <f>T594-W594</f>
        <v>5.5</v>
      </c>
      <c r="AL594" s="5">
        <f>(T594-W594)/T594</f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>(T595-W595)/T595</f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>AJ595</f>
        <v>0</v>
      </c>
      <c r="AJ595" s="2">
        <f>AI595*T595</f>
        <v>0</v>
      </c>
      <c r="AK595" s="2">
        <f>T595-W595</f>
        <v>1224.5</v>
      </c>
      <c r="AL595" s="5">
        <f>(T595-W595)/T595</f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>(T596-W596)/T596</f>
        <v>1</v>
      </c>
      <c r="Z596" s="2" t="s">
        <v>118</v>
      </c>
      <c r="AF596" s="2">
        <f>AJ596</f>
        <v>0</v>
      </c>
      <c r="AJ596" s="2">
        <f>AI596*T596</f>
        <v>0</v>
      </c>
      <c r="AK596" s="2">
        <f>T596-W596</f>
        <v>363.6</v>
      </c>
      <c r="AL596" s="5">
        <f>(T596-W596)/T596</f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>(T597-W597)/T597</f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>AJ597</f>
        <v>0</v>
      </c>
      <c r="AJ597" s="2">
        <f>AI597*T597</f>
        <v>0</v>
      </c>
      <c r="AK597" s="2">
        <f>T597-W597</f>
        <v>78.599999999999994</v>
      </c>
      <c r="AL597" s="5">
        <f>(T597-W597)/T597</f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>(T598-W598)/T598</f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>AJ598</f>
        <v>0</v>
      </c>
      <c r="AJ598" s="2">
        <f>AI598*T598</f>
        <v>0</v>
      </c>
      <c r="AK598" s="2">
        <f>T598-W598</f>
        <v>100</v>
      </c>
      <c r="AL598" s="5">
        <f>(T598-W598)/T598</f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>(T599-W599)/T599</f>
        <v>1</v>
      </c>
      <c r="Z599" s="2" t="s">
        <v>120</v>
      </c>
      <c r="AA599" s="2" t="s">
        <v>3384</v>
      </c>
      <c r="AF599" s="2">
        <f>AJ599</f>
        <v>0</v>
      </c>
      <c r="AJ599" s="2">
        <f>AI599*T599</f>
        <v>0</v>
      </c>
      <c r="AK599" s="2">
        <f>T599-W599</f>
        <v>194.29</v>
      </c>
      <c r="AL599" s="5">
        <f>(T599-W599)/T599</f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>(T600-W600)/T600</f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>AJ600</f>
        <v>0</v>
      </c>
      <c r="AJ600" s="2">
        <f>AI600*T600</f>
        <v>0</v>
      </c>
      <c r="AK600" s="2">
        <f>T600-W600</f>
        <v>86.389999999999986</v>
      </c>
      <c r="AL600" s="5">
        <f>(T600-W600)/T600</f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>(T601-W601)/T601</f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>AJ601</f>
        <v>0</v>
      </c>
      <c r="AG601" s="2">
        <v>1.1399999999999999</v>
      </c>
      <c r="AH601" s="2">
        <v>1.1399999999999999</v>
      </c>
      <c r="AJ601" s="2">
        <f>AI601*T601</f>
        <v>0</v>
      </c>
      <c r="AK601" s="2">
        <f>T601-W601</f>
        <v>0</v>
      </c>
      <c r="AL601" s="5">
        <f>(T601-W601)/T601</f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>(T602-W602)/T602</f>
        <v>1</v>
      </c>
      <c r="Z602" s="2" t="s">
        <v>3231</v>
      </c>
      <c r="AA602" s="2" t="s">
        <v>72</v>
      </c>
      <c r="AF602" s="2">
        <f>AJ602</f>
        <v>0</v>
      </c>
      <c r="AJ602" s="2">
        <f>AI602*T602</f>
        <v>0</v>
      </c>
      <c r="AK602" s="2">
        <f>T602-W602</f>
        <v>99</v>
      </c>
      <c r="AL602" s="5">
        <f>(T602-W602)/T602</f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>(T603-W603)/T603</f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>AJ603</f>
        <v>0</v>
      </c>
      <c r="AG603" s="2">
        <v>117.453</v>
      </c>
      <c r="AH603" s="2">
        <v>220</v>
      </c>
      <c r="AJ603" s="2">
        <f>AI603*T603</f>
        <v>0</v>
      </c>
      <c r="AK603" s="2">
        <f>T603-W603</f>
        <v>92.546999999999997</v>
      </c>
      <c r="AL603" s="5">
        <f>(T603-W603)/T603</f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>(T604-W604)/T604</f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>AJ604</f>
        <v>0</v>
      </c>
      <c r="AJ604" s="2">
        <f>AI604*T604</f>
        <v>0</v>
      </c>
      <c r="AK604" s="2">
        <f>T604-W604</f>
        <v>0</v>
      </c>
      <c r="AL604" s="5">
        <f>(T604-W604)/T604</f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>(T605-W605)/T605</f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>AJ605</f>
        <v>0</v>
      </c>
      <c r="AJ605" s="2">
        <f>AI605*T605</f>
        <v>0</v>
      </c>
      <c r="AK605" s="2">
        <f>T605-W605</f>
        <v>30</v>
      </c>
      <c r="AL605" s="5">
        <f>(T605-W605)/T605</f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>(T606-W606)/T606</f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>AJ606</f>
        <v>0</v>
      </c>
      <c r="AJ606" s="2">
        <f>AI606*T606</f>
        <v>0</v>
      </c>
      <c r="AK606" s="2">
        <f>T606-W606</f>
        <v>50</v>
      </c>
      <c r="AL606" s="5">
        <f>(T606-W606)/T606</f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>(T607-W607)/T607</f>
        <v>1</v>
      </c>
      <c r="Z607" s="2" t="s">
        <v>118</v>
      </c>
      <c r="AA607" s="2" t="s">
        <v>119</v>
      </c>
      <c r="AB607" s="2" t="s">
        <v>1006</v>
      </c>
      <c r="AF607" s="2">
        <f>AJ607</f>
        <v>0</v>
      </c>
      <c r="AJ607" s="2">
        <f>AI607*T607</f>
        <v>0</v>
      </c>
      <c r="AK607" s="2">
        <f>T607-W607</f>
        <v>141.47</v>
      </c>
      <c r="AL607" s="5">
        <f>(T607-W607)/T607</f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F608" s="2" t="s">
        <v>39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>(T608-W608)/T608</f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>AJ608</f>
        <v>0</v>
      </c>
      <c r="AG608" s="2">
        <v>7.2217000000000002</v>
      </c>
      <c r="AH608" s="2">
        <v>14.4</v>
      </c>
      <c r="AJ608" s="2">
        <f>AI608*T608</f>
        <v>0</v>
      </c>
      <c r="AK608" s="2">
        <f>T608-W608</f>
        <v>17.934900000000003</v>
      </c>
      <c r="AL608" s="5">
        <f>(T608-W608)/T608</f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>(T609-W609)/T609</f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>AJ609</f>
        <v>0</v>
      </c>
      <c r="AG609" s="2">
        <v>9.0749999999999993</v>
      </c>
      <c r="AJ609" s="2">
        <f>AI609*T609</f>
        <v>0</v>
      </c>
      <c r="AK609" s="2">
        <f>T609-W609</f>
        <v>7.125</v>
      </c>
      <c r="AL609" s="5">
        <f>(T609-W609)/T609</f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>(T610-W610)/T610</f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>AJ610</f>
        <v>0</v>
      </c>
      <c r="AG610" s="2">
        <v>16.224900000000002</v>
      </c>
      <c r="AJ610" s="2">
        <f>AI610*T610</f>
        <v>0</v>
      </c>
      <c r="AK610" s="2">
        <f>T610-W610</f>
        <v>37.725300000000004</v>
      </c>
      <c r="AL610" s="5">
        <f>(T610-W610)/T610</f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>(T611-W611)/T611</f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>AJ611</f>
        <v>0</v>
      </c>
      <c r="AJ611" s="2">
        <f>AI611*T611</f>
        <v>0</v>
      </c>
      <c r="AK611" s="2">
        <f>T611-W611</f>
        <v>178</v>
      </c>
      <c r="AL611" s="5">
        <f>(T611-W611)/T611</f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>(T612-W612)/T612</f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>AJ612</f>
        <v>0</v>
      </c>
      <c r="AJ612" s="2">
        <f>AI612*T612</f>
        <v>0</v>
      </c>
      <c r="AK612" s="2">
        <f>T612-W612</f>
        <v>46.400000000000006</v>
      </c>
      <c r="AL612" s="5">
        <f>(T612-W612)/T612</f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>(T613-W613)/T613</f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>AJ613</f>
        <v>0</v>
      </c>
      <c r="AG613" s="2">
        <v>246.77</v>
      </c>
      <c r="AJ613" s="2">
        <f>AI613*T613</f>
        <v>0</v>
      </c>
      <c r="AK613" s="2">
        <f>T613-W613</f>
        <v>271.52</v>
      </c>
      <c r="AL613" s="5">
        <f>(T613-W613)/T613</f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>(T614-W614)/T614</f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>AJ614</f>
        <v>0</v>
      </c>
      <c r="AJ614" s="2">
        <f>AI614*T614</f>
        <v>0</v>
      </c>
      <c r="AK614" s="2">
        <f>T614-W614</f>
        <v>30</v>
      </c>
      <c r="AL614" s="5">
        <f>(T614-W614)/T614</f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>(T615-W615)/T615</f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>AJ615</f>
        <v>0</v>
      </c>
      <c r="AJ615" s="2">
        <f>AI615*T615</f>
        <v>0</v>
      </c>
      <c r="AK615" s="2">
        <f>T615-W615</f>
        <v>50</v>
      </c>
      <c r="AL615" s="5">
        <f>(T615-W615)/T615</f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>(T616-W616)/T616</f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>AJ616</f>
        <v>0</v>
      </c>
      <c r="AG616" s="2">
        <v>10.6</v>
      </c>
      <c r="AH616" s="2">
        <v>18</v>
      </c>
      <c r="AJ616" s="2">
        <f>AI616*T616</f>
        <v>0</v>
      </c>
      <c r="AK616" s="2">
        <f>T616-W616</f>
        <v>22.200000000000003</v>
      </c>
      <c r="AL616" s="5">
        <f>(T616-W616)/T616</f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>(T617-W617)/T617</f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>AJ617</f>
        <v>0</v>
      </c>
      <c r="AG617" s="2">
        <v>8.1999999999999993</v>
      </c>
      <c r="AH617" s="2">
        <v>13</v>
      </c>
      <c r="AJ617" s="2">
        <f>AI617*T617</f>
        <v>0</v>
      </c>
      <c r="AK617" s="2">
        <f>T617-W617</f>
        <v>3.7999999999999989</v>
      </c>
      <c r="AL617" s="5">
        <f>(T617-W617)/T617</f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>(T618-W618)/T618</f>
        <v>1</v>
      </c>
      <c r="Z618" s="2" t="s">
        <v>170</v>
      </c>
      <c r="AA618" s="2" t="s">
        <v>170</v>
      </c>
      <c r="AF618" s="2">
        <f>AJ618</f>
        <v>0</v>
      </c>
      <c r="AJ618" s="2">
        <f>AI618*T618</f>
        <v>0</v>
      </c>
      <c r="AK618" s="2">
        <f>T618-W618</f>
        <v>8</v>
      </c>
      <c r="AL618" s="5">
        <f>(T618-W618)/T618</f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>(T619-W619)/T619</f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>AJ619</f>
        <v>0</v>
      </c>
      <c r="AJ619" s="2">
        <f>AI619*T619</f>
        <v>0</v>
      </c>
      <c r="AK619" s="2">
        <f>T619-W619</f>
        <v>24.75</v>
      </c>
      <c r="AL619" s="5">
        <f>(T619-W619)/T619</f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>(T620-W620)/T620</f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>AJ620</f>
        <v>0</v>
      </c>
      <c r="AJ620" s="2">
        <f>AI620*T620</f>
        <v>0</v>
      </c>
      <c r="AK620" s="2">
        <f>T620-W620</f>
        <v>22.5</v>
      </c>
      <c r="AL620" s="5">
        <f>(T620-W620)/T620</f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>(T621-W621)/T621</f>
        <v>1</v>
      </c>
      <c r="Z621" s="2" t="s">
        <v>120</v>
      </c>
      <c r="AA621" s="2" t="s">
        <v>3384</v>
      </c>
      <c r="AF621" s="2">
        <f>AJ621</f>
        <v>0</v>
      </c>
      <c r="AJ621" s="2">
        <f>AI621*T621</f>
        <v>0</v>
      </c>
      <c r="AK621" s="2">
        <f>T621-W621</f>
        <v>10.8</v>
      </c>
      <c r="AL621" s="5">
        <f>(T621-W621)/T621</f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>(T622-W622)/T622</f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>AJ622</f>
        <v>0</v>
      </c>
      <c r="AJ622" s="2">
        <f>AI622*T622</f>
        <v>0</v>
      </c>
      <c r="AK622" s="2">
        <f>T622-W622</f>
        <v>30</v>
      </c>
      <c r="AL622" s="5">
        <f>(T622-W622)/T622</f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>(T623-W623)/T623</f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>AJ623</f>
        <v>0</v>
      </c>
      <c r="AJ623" s="2">
        <f>AI623*T623</f>
        <v>0</v>
      </c>
      <c r="AK623" s="2">
        <f>T623-W623</f>
        <v>25</v>
      </c>
      <c r="AL623" s="5">
        <f>(T623-W623)/T623</f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>(T624-W624)/T624</f>
        <v>1</v>
      </c>
      <c r="Z624" s="2" t="s">
        <v>118</v>
      </c>
      <c r="AF624" s="2">
        <f>AJ624</f>
        <v>0</v>
      </c>
      <c r="AJ624" s="2">
        <f>AI624*T624</f>
        <v>0</v>
      </c>
      <c r="AK624" s="2">
        <f>T624-W624</f>
        <v>83.75</v>
      </c>
      <c r="AL624" s="5">
        <f>(T624-W624)/T624</f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>(T625-W625)/T625</f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>AJ625</f>
        <v>0</v>
      </c>
      <c r="AG625" s="2">
        <v>1.1122000000000001</v>
      </c>
      <c r="AH625" s="2">
        <v>3</v>
      </c>
      <c r="AJ625" s="2">
        <f>AI625*T625</f>
        <v>0</v>
      </c>
      <c r="AK625" s="2">
        <f>T625-W625</f>
        <v>15.102399999999999</v>
      </c>
      <c r="AL625" s="5">
        <f>(T625-W625)/T625</f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>(T626-W626)/T626</f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>AJ626</f>
        <v>0</v>
      </c>
      <c r="AG626" s="2">
        <v>7.9611999999999998</v>
      </c>
      <c r="AH626" s="2">
        <v>14.4</v>
      </c>
      <c r="AJ626" s="2">
        <f>AI626*T626</f>
        <v>0</v>
      </c>
      <c r="AK626" s="2">
        <f>T626-W626</f>
        <v>14.0776</v>
      </c>
      <c r="AL626" s="5">
        <f>(T626-W626)/T626</f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>(T627-W627)/T627</f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>AJ627</f>
        <v>0</v>
      </c>
      <c r="AG627" s="2">
        <v>10.6</v>
      </c>
      <c r="AH627" s="2">
        <v>18</v>
      </c>
      <c r="AJ627" s="2">
        <f>AI627*T627</f>
        <v>0</v>
      </c>
      <c r="AK627" s="2">
        <f>T627-W627</f>
        <v>7.4</v>
      </c>
      <c r="AL627" s="5">
        <f>(T627-W627)/T627</f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>(T628-W628)/T628</f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>AJ628</f>
        <v>0</v>
      </c>
      <c r="AG628" s="2">
        <v>15.020300000000001</v>
      </c>
      <c r="AH628" s="2">
        <v>27.6</v>
      </c>
      <c r="AJ628" s="2">
        <f>AI628*T628</f>
        <v>0</v>
      </c>
      <c r="AK628" s="2">
        <f>T628-W628</f>
        <v>6.9796999999999993</v>
      </c>
      <c r="AL628" s="5">
        <f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>(T629-W629)/T629</f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>AJ629</f>
        <v>0</v>
      </c>
      <c r="AJ629" s="2">
        <f>AI629*T629</f>
        <v>0</v>
      </c>
      <c r="AK629" s="2">
        <f>T629-W629</f>
        <v>8.8000000000000007</v>
      </c>
      <c r="AL629" s="5">
        <f>(T629-W629)/T629</f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>(T630-W630)/T630</f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>AJ630</f>
        <v>0</v>
      </c>
      <c r="AG630" s="2">
        <v>15.020300000000001</v>
      </c>
      <c r="AH630" s="2">
        <v>27.6</v>
      </c>
      <c r="AJ630" s="2">
        <f>AI630*T630</f>
        <v>0</v>
      </c>
      <c r="AK630" s="2">
        <f>T630-W630</f>
        <v>6.4796999999999993</v>
      </c>
      <c r="AL630" s="5">
        <f>(T630-W630)/T630</f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>(T631-W631)/T631</f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>AJ631</f>
        <v>0</v>
      </c>
      <c r="AG631" s="2">
        <v>117.453</v>
      </c>
      <c r="AH631" s="2">
        <v>220</v>
      </c>
      <c r="AJ631" s="2">
        <f>AI631*T631</f>
        <v>0</v>
      </c>
      <c r="AK631" s="2">
        <f>T631-W631</f>
        <v>185.09399999999999</v>
      </c>
      <c r="AL631" s="5">
        <f>(T631-W631)/T631</f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>(T632-W632)/T632</f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>AJ632</f>
        <v>0</v>
      </c>
      <c r="AG632" s="2">
        <v>1.1399999999999999</v>
      </c>
      <c r="AH632" s="2">
        <v>1.1399999999999999</v>
      </c>
      <c r="AJ632" s="2">
        <f>AI632*T632</f>
        <v>0</v>
      </c>
      <c r="AK632" s="2">
        <f>T632-W632</f>
        <v>0</v>
      </c>
      <c r="AL632" s="5">
        <f>(T632-W632)/T632</f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>(T633-W633)/T633</f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>AJ633</f>
        <v>0</v>
      </c>
      <c r="AJ633" s="2">
        <f>AI633*T633</f>
        <v>0</v>
      </c>
      <c r="AK633" s="2">
        <f>T633-W633</f>
        <v>344.04</v>
      </c>
      <c r="AL633" s="5">
        <f>(T633-W633)/T633</f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>(T634-W634)/T634</f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>AJ634</f>
        <v>0</v>
      </c>
      <c r="AJ634" s="2">
        <f>AI634*T634</f>
        <v>0</v>
      </c>
      <c r="AK634" s="2">
        <f>T634-W634</f>
        <v>44.4</v>
      </c>
      <c r="AL634" s="5">
        <f>(T634-W634)/T634</f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>AJ635</f>
        <v>0</v>
      </c>
      <c r="AJ635" s="2">
        <f>AI635*T635</f>
        <v>0</v>
      </c>
      <c r="AK635" s="2">
        <f>T635-W635</f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>AJ636</f>
        <v>0</v>
      </c>
      <c r="AJ636" s="2">
        <f>AI636*T636</f>
        <v>0</v>
      </c>
      <c r="AK636" s="2">
        <f>T636-W636</f>
        <v>76.699999999999989</v>
      </c>
      <c r="AL636" s="5">
        <f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>(T637-W637)/T637</f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>AJ637</f>
        <v>0</v>
      </c>
      <c r="AG637" s="2">
        <v>1.1399999999999999</v>
      </c>
      <c r="AH637" s="2">
        <v>1.1399999999999999</v>
      </c>
      <c r="AJ637" s="2">
        <f>AI637*T637</f>
        <v>0</v>
      </c>
      <c r="AK637" s="2">
        <f>T637-W637</f>
        <v>0</v>
      </c>
      <c r="AL637" s="5">
        <f>(T637-W637)/T637</f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>(T638-W638)/T638</f>
        <v>1</v>
      </c>
      <c r="AF638" s="2">
        <f>AJ638</f>
        <v>0</v>
      </c>
      <c r="AJ638" s="2">
        <f>AI638*T638</f>
        <v>0</v>
      </c>
      <c r="AK638" s="2">
        <f>T638-W638</f>
        <v>276.45</v>
      </c>
      <c r="AL638" s="5">
        <f>(T638-W638)/T638</f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>(T639-W639)/T639</f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>AJ639</f>
        <v>0</v>
      </c>
      <c r="AG639" s="2">
        <v>117.453</v>
      </c>
      <c r="AH639" s="2">
        <v>220</v>
      </c>
      <c r="AJ639" s="2">
        <f>AI639*T639</f>
        <v>0</v>
      </c>
      <c r="AK639" s="2">
        <f>T639-W639</f>
        <v>87.546999999999997</v>
      </c>
      <c r="AL639" s="5">
        <f>(T639-W639)/T639</f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>(T640-W640)/T640</f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>AJ640</f>
        <v>0</v>
      </c>
      <c r="AJ640" s="2">
        <f>AI640*T640</f>
        <v>0</v>
      </c>
      <c r="AK640" s="2">
        <f>T640-W640</f>
        <v>86.85</v>
      </c>
      <c r="AL640" s="5">
        <f>(T640-W640)/T640</f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>(T641-W641)/T641</f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>AJ641</f>
        <v>0</v>
      </c>
      <c r="AJ641" s="2">
        <f>AI641*T641</f>
        <v>0</v>
      </c>
      <c r="AK641" s="2">
        <f>T641-W641</f>
        <v>112.5</v>
      </c>
      <c r="AL641" s="5">
        <f>(T641-W641)/T641</f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>(T642-W642)/T642</f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>AJ642</f>
        <v>0</v>
      </c>
      <c r="AJ642" s="2">
        <f>AI642*T642</f>
        <v>0</v>
      </c>
      <c r="AK642" s="2">
        <f>T642-W642</f>
        <v>0</v>
      </c>
      <c r="AL642" s="5">
        <f>(T642-W642)/T642</f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>(T643-W643)/T643</f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>AJ643</f>
        <v>0</v>
      </c>
      <c r="AJ643" s="2">
        <f>AI643*T643</f>
        <v>0</v>
      </c>
      <c r="AK643" s="2">
        <f>T643-W643</f>
        <v>92.15</v>
      </c>
      <c r="AL643" s="5">
        <f>(T643-W643)/T643</f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>(T644-W644)/T644</f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>AJ644</f>
        <v>0</v>
      </c>
      <c r="AJ644" s="2">
        <f>AI644*T644</f>
        <v>0</v>
      </c>
      <c r="AK644" s="2">
        <f>T644-W644</f>
        <v>0</v>
      </c>
      <c r="AL644" s="5">
        <f>(T644-W644)/T644</f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>(T645-W645)/T645</f>
        <v>1</v>
      </c>
      <c r="Z645" s="2" t="s">
        <v>118</v>
      </c>
      <c r="AF645" s="2">
        <f>AJ645</f>
        <v>0</v>
      </c>
      <c r="AJ645" s="2">
        <f>AI645*T645</f>
        <v>0</v>
      </c>
      <c r="AK645" s="2">
        <f>T645-W645</f>
        <v>2852.95</v>
      </c>
      <c r="AL645" s="5">
        <f>(T645-W645)/T645</f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>(T646-W646)/T646</f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>AJ646</f>
        <v>0</v>
      </c>
      <c r="AJ646" s="2">
        <f>AI646*T646</f>
        <v>0</v>
      </c>
      <c r="AK646" s="2">
        <f>T646-W646</f>
        <v>30</v>
      </c>
      <c r="AL646" s="5">
        <f>(T646-W646)/T646</f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>(T647-W647)/T647</f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>AJ647</f>
        <v>0</v>
      </c>
      <c r="AJ647" s="2">
        <f>AI647*T647</f>
        <v>0</v>
      </c>
      <c r="AK647" s="2">
        <f>T647-W647</f>
        <v>50</v>
      </c>
      <c r="AL647" s="5">
        <f>(T647-W647)/T647</f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>(T648-W648)/T648</f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>AJ648</f>
        <v>0</v>
      </c>
      <c r="AJ648" s="2">
        <f>AI648*T648</f>
        <v>0</v>
      </c>
      <c r="AK648" s="2">
        <f>T648-W648</f>
        <v>42.599999999999994</v>
      </c>
      <c r="AL648" s="5">
        <f>(T648-W648)/T648</f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>(T649-W649)/T649</f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>AJ649</f>
        <v>0</v>
      </c>
      <c r="AJ649" s="2">
        <f>AI649*T649</f>
        <v>0</v>
      </c>
      <c r="AK649" s="2">
        <f>T649-W649</f>
        <v>37.5</v>
      </c>
      <c r="AL649" s="5">
        <f>(T649-W649)/T649</f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>(T650-W650)/T650</f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>AJ650</f>
        <v>0</v>
      </c>
      <c r="AG650" s="2">
        <v>119.33</v>
      </c>
      <c r="AH650" s="2">
        <v>220</v>
      </c>
      <c r="AJ650" s="2">
        <f>AI650*T650</f>
        <v>0</v>
      </c>
      <c r="AK650" s="2">
        <f>T650-W650</f>
        <v>90.67</v>
      </c>
      <c r="AL650" s="5">
        <f>(T650-W650)/T650</f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>(T651-W651)/T651</f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>AJ651</f>
        <v>0</v>
      </c>
      <c r="AG651" s="2">
        <v>113.33</v>
      </c>
      <c r="AH651" s="2">
        <v>220</v>
      </c>
      <c r="AJ651" s="2">
        <f>AI651*T651</f>
        <v>0</v>
      </c>
      <c r="AK651" s="2">
        <f>T651-W651</f>
        <v>96.67</v>
      </c>
      <c r="AL651" s="5">
        <f>(T651-W651)/T651</f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>(T652-W652)/T652</f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>AJ652</f>
        <v>0</v>
      </c>
      <c r="AG652" s="2">
        <v>1.1399999999999999</v>
      </c>
      <c r="AH652" s="2">
        <v>1.1399999999999999</v>
      </c>
      <c r="AJ652" s="2">
        <f>AI652*T652</f>
        <v>0</v>
      </c>
      <c r="AK652" s="2">
        <f>T652-W652</f>
        <v>0</v>
      </c>
      <c r="AL652" s="5">
        <f>(T652-W652)/T652</f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>(T653-W653)/T653</f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>AJ653</f>
        <v>0</v>
      </c>
      <c r="AG653" s="2">
        <v>119.33</v>
      </c>
      <c r="AH653" s="2">
        <v>220</v>
      </c>
      <c r="AJ653" s="2">
        <f>AI653*T653</f>
        <v>0</v>
      </c>
      <c r="AK653" s="2">
        <f>T653-W653</f>
        <v>105.67</v>
      </c>
      <c r="AL653" s="5">
        <f>(T653-W653)/T653</f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>(T654-W654)/T654</f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>AJ654</f>
        <v>0</v>
      </c>
      <c r="AJ654" s="2">
        <f>AI654*T654</f>
        <v>0</v>
      </c>
      <c r="AK654" s="2">
        <f>T654-W654</f>
        <v>0</v>
      </c>
      <c r="AL654" s="5">
        <f>(T654-W654)/T654</f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>(T655-W655)/T655</f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>AJ655</f>
        <v>0</v>
      </c>
      <c r="AG655" s="2">
        <v>10.6</v>
      </c>
      <c r="AH655" s="2">
        <v>18</v>
      </c>
      <c r="AJ655" s="2">
        <f>AI655*T655</f>
        <v>0</v>
      </c>
      <c r="AK655" s="2">
        <f>T655-W655</f>
        <v>14.8</v>
      </c>
      <c r="AL655" s="5">
        <f>(T655-W655)/T655</f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>(T656-W656)/T656</f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>AJ656</f>
        <v>0</v>
      </c>
      <c r="AG656" s="2">
        <v>117.453</v>
      </c>
      <c r="AH656" s="2">
        <v>220</v>
      </c>
      <c r="AJ656" s="2">
        <f>AI656*T656</f>
        <v>0</v>
      </c>
      <c r="AK656" s="2">
        <f>T656-W656</f>
        <v>82.546999999999997</v>
      </c>
      <c r="AL656" s="5">
        <f>(T656-W656)/T656</f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>(T657-W657)/T657</f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>AJ657</f>
        <v>0</v>
      </c>
      <c r="AG657" s="2">
        <v>150.37</v>
      </c>
      <c r="AJ657" s="2">
        <f>AI657*T657</f>
        <v>0</v>
      </c>
      <c r="AK657" s="2">
        <f>T657-W657</f>
        <v>211.52999999999997</v>
      </c>
      <c r="AL657" s="5">
        <f>(T657-W657)/T657</f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>(T658-W658)/T658</f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>AJ658</f>
        <v>0</v>
      </c>
      <c r="AJ658" s="2">
        <f>AI658*T658</f>
        <v>0</v>
      </c>
      <c r="AK658" s="2">
        <f>T658-W658</f>
        <v>0</v>
      </c>
      <c r="AL658" s="5">
        <f>(T658-W658)/T658</f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>(T659-W659)/T659</f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>AJ659</f>
        <v>0</v>
      </c>
      <c r="AJ659" s="2">
        <f>AI659*T659</f>
        <v>0</v>
      </c>
      <c r="AK659" s="2">
        <f>T659-W659</f>
        <v>0.96000000000000085</v>
      </c>
      <c r="AL659" s="5">
        <f>(T659-W659)/T659</f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>(T660-W660)/T660</f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>AJ660</f>
        <v>0</v>
      </c>
      <c r="AJ660" s="2">
        <f>AI660*T660</f>
        <v>0</v>
      </c>
      <c r="AK660" s="2">
        <f>T660-W660</f>
        <v>1.6000000000000005</v>
      </c>
      <c r="AL660" s="5">
        <f>(T660-W660)/T660</f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>(T661-W661)/T661</f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>AJ661</f>
        <v>0</v>
      </c>
      <c r="AJ661" s="2">
        <f>AI661*T661</f>
        <v>0</v>
      </c>
      <c r="AK661" s="2">
        <f>T661-W661</f>
        <v>0.2200000000000002</v>
      </c>
      <c r="AL661" s="5">
        <f>(T661-W661)/T661</f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>(T662-W662)/T662</f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>AJ662</f>
        <v>0</v>
      </c>
      <c r="AJ662" s="2">
        <f>AI662*T662</f>
        <v>0</v>
      </c>
      <c r="AK662" s="2">
        <f>T662-W662</f>
        <v>30</v>
      </c>
      <c r="AL662" s="5">
        <f>(T662-W662)/T662</f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>(T663-W663)/T663</f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>AJ663</f>
        <v>0</v>
      </c>
      <c r="AJ663" s="2">
        <f>AI663*T663</f>
        <v>0</v>
      </c>
      <c r="AK663" s="2">
        <f>T663-W663</f>
        <v>50</v>
      </c>
      <c r="AL663" s="5">
        <f>(T663-W663)/T663</f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>(T664-W664)/T664</f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>AJ664</f>
        <v>0</v>
      </c>
      <c r="AG664" s="2">
        <v>110.68</v>
      </c>
      <c r="AH664" s="2">
        <v>210</v>
      </c>
      <c r="AJ664" s="2">
        <f>AI664*T664</f>
        <v>0</v>
      </c>
      <c r="AK664" s="2">
        <f>T664-W664</f>
        <v>89.32</v>
      </c>
      <c r="AL664" s="5">
        <f>(T664-W664)/T664</f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>(T665-W665)/T665</f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>AJ665</f>
        <v>0</v>
      </c>
      <c r="AJ665" s="2">
        <f>AI665*T665</f>
        <v>0</v>
      </c>
      <c r="AK665" s="2">
        <f>T665-W665</f>
        <v>0</v>
      </c>
      <c r="AL665" s="5">
        <f>(T665-W665)/T665</f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>(T666-W666)/T666</f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>AJ666</f>
        <v>0</v>
      </c>
      <c r="AJ666" s="2">
        <f>AI666*T666</f>
        <v>0</v>
      </c>
      <c r="AK666" s="2">
        <f>T666-W666</f>
        <v>4.6100000000000012</v>
      </c>
      <c r="AL666" s="5">
        <f>(T666-W666)/T666</f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>(T667-W667)/T667</f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>AJ667</f>
        <v>0</v>
      </c>
      <c r="AJ667" s="2">
        <f>AI667*T667</f>
        <v>0</v>
      </c>
      <c r="AK667" s="2">
        <f>T667-W667</f>
        <v>3.74</v>
      </c>
      <c r="AL667" s="5">
        <f>(T667-W667)/T667</f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>AJ668</f>
        <v>0</v>
      </c>
      <c r="AJ668" s="2">
        <f>AI668*T668</f>
        <v>0</v>
      </c>
      <c r="AK668" s="2">
        <f>T668-W668</f>
        <v>99.75</v>
      </c>
      <c r="AL668" s="5">
        <f>(T668-W668)/T668</f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>(T669-W669)/T669</f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>AJ669</f>
        <v>0</v>
      </c>
      <c r="AJ669" s="2">
        <f>AI669*T669</f>
        <v>0</v>
      </c>
      <c r="AK669" s="2">
        <f>T669-W669</f>
        <v>7.509999999999998</v>
      </c>
      <c r="AL669" s="5">
        <f>(T669-W669)/T669</f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>(T670-W670)/T670</f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>AJ670</f>
        <v>0</v>
      </c>
      <c r="AJ670" s="2">
        <f>AI670*T670</f>
        <v>0</v>
      </c>
      <c r="AK670" s="2">
        <f>T670-W670</f>
        <v>8.6699999999999982</v>
      </c>
      <c r="AL670" s="5">
        <f>(T670-W670)/T670</f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E671" s="2" t="s">
        <v>109</v>
      </c>
      <c r="F671" s="2" t="s">
        <v>39</v>
      </c>
      <c r="L671" s="2" t="s">
        <v>100</v>
      </c>
      <c r="M671" s="2" t="s">
        <v>41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>(T671-W671)/T671</f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>AJ671</f>
        <v>0</v>
      </c>
      <c r="AG671" s="2">
        <v>8.1999999999999993</v>
      </c>
      <c r="AH671" s="2">
        <v>13</v>
      </c>
      <c r="AJ671" s="2">
        <f>AI671*T671</f>
        <v>0</v>
      </c>
      <c r="AK671" s="2">
        <f>T671-W671</f>
        <v>23</v>
      </c>
      <c r="AL671" s="5">
        <f>(T671-W671)/T671</f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E672" s="2" t="s">
        <v>109</v>
      </c>
      <c r="F672" s="2" t="s">
        <v>39</v>
      </c>
      <c r="L672" s="2" t="s">
        <v>100</v>
      </c>
      <c r="M672" s="2" t="s">
        <v>41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>(T672-W672)/T672</f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>AJ672</f>
        <v>0</v>
      </c>
      <c r="AG672" s="2">
        <v>15.020300000000001</v>
      </c>
      <c r="AH672" s="2">
        <v>27.6</v>
      </c>
      <c r="AJ672" s="2">
        <f>AI672*T672</f>
        <v>0</v>
      </c>
      <c r="AK672" s="2">
        <f>T672-W672</f>
        <v>11.959399999999999</v>
      </c>
      <c r="AL672" s="5">
        <f>(T672-W672)/T672</f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>(T673-W673)/T673</f>
        <v>0.58244117647058824</v>
      </c>
      <c r="Z673" s="2" t="s">
        <v>3231</v>
      </c>
      <c r="AA673" s="2" t="s">
        <v>3387</v>
      </c>
      <c r="AB673" s="2" t="s">
        <v>3388</v>
      </c>
      <c r="AC673" s="2" t="s">
        <v>3389</v>
      </c>
      <c r="AF673" s="2">
        <f>AJ673</f>
        <v>0</v>
      </c>
      <c r="AJ673" s="2">
        <f>AI673*T673</f>
        <v>0</v>
      </c>
      <c r="AK673" s="2">
        <f>T673-W673</f>
        <v>396.06</v>
      </c>
      <c r="AL673" s="5">
        <f>(T673-W673)/T673</f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>(T674-W674)/T674</f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>AJ674</f>
        <v>0</v>
      </c>
      <c r="AJ674" s="2">
        <f>AI674*T674</f>
        <v>0</v>
      </c>
      <c r="AK674" s="2">
        <f>T674-W674</f>
        <v>3.0316000000000001</v>
      </c>
      <c r="AL674" s="5">
        <f>(T674-W674)/T674</f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>(T675-W675)/T675</f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>AJ675</f>
        <v>0</v>
      </c>
      <c r="AJ675" s="2">
        <f>AI675*T675</f>
        <v>0</v>
      </c>
      <c r="AK675" s="2">
        <f>T675-W675</f>
        <v>39.904200000000003</v>
      </c>
      <c r="AL675" s="5">
        <f>(T675-W675)/T675</f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>(T676-W676)/T676</f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>AJ676</f>
        <v>0</v>
      </c>
      <c r="AG676" s="2">
        <v>6.6266999999999996</v>
      </c>
      <c r="AH676" s="2">
        <v>12</v>
      </c>
      <c r="AJ676" s="2">
        <f>AI676*T676</f>
        <v>0</v>
      </c>
      <c r="AK676" s="2">
        <f>T676-W676</f>
        <v>42.986400000000003</v>
      </c>
      <c r="AL676" s="5">
        <f>(T676-W676)/T676</f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>(T677-W677)/T677</f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>AJ677</f>
        <v>0</v>
      </c>
      <c r="AG677" s="2">
        <v>8.1999999999999993</v>
      </c>
      <c r="AH677" s="2">
        <v>13</v>
      </c>
      <c r="AJ677" s="2">
        <f>AI677*T677</f>
        <v>0</v>
      </c>
      <c r="AK677" s="2">
        <f>T677-W677</f>
        <v>4.7999999999999989</v>
      </c>
      <c r="AL677" s="5">
        <f>(T677-W677)/T677</f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>(T678-W678)/T678</f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>AJ678</f>
        <v>0</v>
      </c>
      <c r="AJ678" s="2">
        <f>AI678*T678</f>
        <v>0</v>
      </c>
      <c r="AK678" s="2">
        <f>T678-W678</f>
        <v>21.599999999999994</v>
      </c>
      <c r="AL678" s="5">
        <f>(T678-W678)/T678</f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>(T679-W679)/T679</f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>AJ679</f>
        <v>0</v>
      </c>
      <c r="AG679" s="2">
        <v>117.453</v>
      </c>
      <c r="AH679" s="2">
        <v>220</v>
      </c>
      <c r="AJ679" s="2">
        <f>AI679*T679</f>
        <v>0</v>
      </c>
      <c r="AK679" s="2">
        <f>T679-W679</f>
        <v>92.546999999999997</v>
      </c>
      <c r="AL679" s="5">
        <f>(T679-W679)/T679</f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>(T680-W680)/T680</f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>AJ680</f>
        <v>0</v>
      </c>
      <c r="AJ680" s="2">
        <f>AI680*T680</f>
        <v>0</v>
      </c>
      <c r="AK680" s="2">
        <f>T680-W680</f>
        <v>83.169999999999987</v>
      </c>
      <c r="AL680" s="5">
        <f>(T680-W680)/T680</f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>(T681-W681)/T681</f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>AJ681</f>
        <v>0</v>
      </c>
      <c r="AJ681" s="2">
        <f>AI681*T681</f>
        <v>0</v>
      </c>
      <c r="AK681" s="2">
        <f>T681-W681</f>
        <v>0</v>
      </c>
      <c r="AL681" s="5">
        <f>(T681-W681)/T681</f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>(T682-W682)/T682</f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>AJ682</f>
        <v>0</v>
      </c>
      <c r="AJ682" s="2">
        <f>AI682*T682</f>
        <v>0</v>
      </c>
      <c r="AK682" s="2">
        <f>T682-W682</f>
        <v>95.57</v>
      </c>
      <c r="AL682" s="5">
        <f>(T682-W682)/T682</f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>(T683-W683)/T683</f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>AJ683</f>
        <v>0</v>
      </c>
      <c r="AG683" s="2">
        <f>144.14+15.4</f>
        <v>159.54</v>
      </c>
      <c r="AH683" s="2">
        <v>280</v>
      </c>
      <c r="AJ683" s="2">
        <f>AI683*T683</f>
        <v>0</v>
      </c>
      <c r="AK683" s="2">
        <f>T683-W683</f>
        <v>90.460000000000008</v>
      </c>
      <c r="AL683" s="5">
        <f>(T683-W683)/T683</f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>(T684-W684)/T684</f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>AJ684</f>
        <v>0</v>
      </c>
      <c r="AJ684" s="2">
        <f>AI684*T684</f>
        <v>0</v>
      </c>
      <c r="AK684" s="2">
        <f>T684-W684</f>
        <v>0</v>
      </c>
      <c r="AL684" s="5">
        <f>(T684-W684)/T684</f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>(T685-W685)/T685</f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>AJ685</f>
        <v>0</v>
      </c>
      <c r="AG685" s="2">
        <v>74.795000000000002</v>
      </c>
      <c r="AJ685" s="2">
        <f>AI685*T685</f>
        <v>0</v>
      </c>
      <c r="AK685" s="2">
        <f>T685-W685</f>
        <v>61.434999999999988</v>
      </c>
      <c r="AL685" s="5">
        <f>(T685-W685)/T685</f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>(T686-W686)/T686</f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>AJ686</f>
        <v>0</v>
      </c>
      <c r="AG686" s="2">
        <v>37.96</v>
      </c>
      <c r="AJ686" s="2">
        <f>AI686*T686</f>
        <v>0</v>
      </c>
      <c r="AK686" s="2">
        <f>T686-W686</f>
        <v>28.449999999999996</v>
      </c>
      <c r="AL686" s="5">
        <f>(T686-W686)/T686</f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>(T687-W687)/T687</f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>AJ687</f>
        <v>0</v>
      </c>
      <c r="AG687" s="2">
        <v>117.453</v>
      </c>
      <c r="AH687" s="2">
        <v>220</v>
      </c>
      <c r="AJ687" s="2">
        <f>AI687*T687</f>
        <v>0</v>
      </c>
      <c r="AK687" s="2">
        <f>T687-W687</f>
        <v>92.546999999999997</v>
      </c>
      <c r="AL687" s="5">
        <f>(T687-W687)/T687</f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>(T688-W688)/T688</f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>AJ688</f>
        <v>0</v>
      </c>
      <c r="AG688" s="2">
        <v>111.11</v>
      </c>
      <c r="AJ688" s="2">
        <f>AI688*T688</f>
        <v>0</v>
      </c>
      <c r="AK688" s="2">
        <f>T688-W688</f>
        <v>84.844999999999999</v>
      </c>
      <c r="AL688" s="5">
        <f>(T688-W688)/T688</f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>AJ689</f>
        <v>0</v>
      </c>
      <c r="AJ689" s="2">
        <f>AI689*T689</f>
        <v>0</v>
      </c>
      <c r="AK689" s="2">
        <f>T689-W689</f>
        <v>0</v>
      </c>
      <c r="AL689" s="5" t="e">
        <f>(T689-W689)/T689</f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>AJ690</f>
        <v>0</v>
      </c>
      <c r="AJ690" s="2">
        <f>AI690*T690</f>
        <v>0</v>
      </c>
      <c r="AK690" s="2">
        <f>T690-W690</f>
        <v>18.75</v>
      </c>
      <c r="AL690" s="5">
        <f>(T690-W690)/T690</f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>(T691-W691)/T691</f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>AJ691</f>
        <v>0</v>
      </c>
      <c r="AG691" s="2">
        <v>1.1399999999999999</v>
      </c>
      <c r="AH691" s="2">
        <v>1.1399999999999999</v>
      </c>
      <c r="AJ691" s="2">
        <f>AI691*T691</f>
        <v>0</v>
      </c>
      <c r="AK691" s="2">
        <f>T691-W691</f>
        <v>0</v>
      </c>
      <c r="AL691" s="5">
        <f>(T691-W691)/T691</f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>(T692-W692)/T692</f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>AJ692</f>
        <v>0</v>
      </c>
      <c r="AJ692" s="2">
        <f>AI692*T692</f>
        <v>0</v>
      </c>
      <c r="AK692" s="2">
        <f>T692-W692</f>
        <v>795.04</v>
      </c>
      <c r="AL692" s="5">
        <f>(T692-W692)/T692</f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>(T693-W693)/T693</f>
        <v>1</v>
      </c>
      <c r="Z693" s="2" t="s">
        <v>105</v>
      </c>
      <c r="AF693" s="2">
        <f>AJ693</f>
        <v>0</v>
      </c>
      <c r="AJ693" s="2">
        <f>AI693*T693</f>
        <v>0</v>
      </c>
      <c r="AK693" s="2">
        <f>T693-W693</f>
        <v>700</v>
      </c>
      <c r="AL693" s="5">
        <f>(T693-W693)/T693</f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>(T694-W694)/T694</f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>AJ694</f>
        <v>0</v>
      </c>
      <c r="AJ694" s="2">
        <f>AI694*T694</f>
        <v>0</v>
      </c>
      <c r="AK694" s="2">
        <f>T694-W694</f>
        <v>76.930000000000007</v>
      </c>
      <c r="AL694" s="5">
        <f>(T694-W694)/T694</f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>(T695-W695)/T695</f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>AJ695</f>
        <v>0</v>
      </c>
      <c r="AG695" s="2">
        <v>120.636</v>
      </c>
      <c r="AH695" s="2">
        <v>220</v>
      </c>
      <c r="AJ695" s="2">
        <f>AI695*T695</f>
        <v>0</v>
      </c>
      <c r="AK695" s="2">
        <f>T695-W695</f>
        <v>99.364000000000004</v>
      </c>
      <c r="AL695" s="5">
        <f>(T695-W695)/T695</f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>(T696-W696)/T696</f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>AJ696</f>
        <v>0</v>
      </c>
      <c r="AJ696" s="2">
        <f>AI696*T696</f>
        <v>0</v>
      </c>
      <c r="AK696" s="2">
        <f>T696-W696</f>
        <v>0</v>
      </c>
      <c r="AL696" s="5">
        <f>(T696-W696)/T696</f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>(T697-W697)/T697</f>
        <v>1</v>
      </c>
      <c r="Z697" s="2" t="s">
        <v>118</v>
      </c>
      <c r="AF697" s="2">
        <f>AJ697</f>
        <v>0</v>
      </c>
      <c r="AJ697" s="2">
        <f>AI697*T697</f>
        <v>0</v>
      </c>
      <c r="AK697" s="2">
        <f>T697-W697</f>
        <v>49.81</v>
      </c>
      <c r="AL697" s="5">
        <f>(T697-W697)/T697</f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>(T698-W698)/T698</f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>AJ698</f>
        <v>0</v>
      </c>
      <c r="AJ698" s="2">
        <f>AI698*T698</f>
        <v>0</v>
      </c>
      <c r="AK698" s="2">
        <f>T698-W698</f>
        <v>30</v>
      </c>
      <c r="AL698" s="5">
        <f>(T698-W698)/T698</f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>(T699-W699)/T699</f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>AJ699</f>
        <v>0</v>
      </c>
      <c r="AJ699" s="2">
        <f>AI699*T699</f>
        <v>0</v>
      </c>
      <c r="AK699" s="2">
        <f>T699-W699</f>
        <v>25</v>
      </c>
      <c r="AL699" s="5">
        <f>(T699-W699)/T699</f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>(T700-W700)/T700</f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>AJ700</f>
        <v>0</v>
      </c>
      <c r="AJ700" s="2">
        <f>AI700*T700</f>
        <v>0</v>
      </c>
      <c r="AK700" s="2">
        <f>T700-W700</f>
        <v>6416.58</v>
      </c>
      <c r="AL700" s="5">
        <f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>(T701-W701)/T701</f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>AJ701</f>
        <v>0</v>
      </c>
      <c r="AJ701" s="2">
        <f>AI701*T701</f>
        <v>0</v>
      </c>
      <c r="AK701" s="2">
        <f>T701-W701</f>
        <v>1255.54</v>
      </c>
      <c r="AL701" s="5">
        <f>(T701-W701)/T701</f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>(T702-W702)/T702</f>
        <v>1</v>
      </c>
      <c r="Z702" s="2" t="s">
        <v>118</v>
      </c>
      <c r="AF702" s="2">
        <f>AJ702</f>
        <v>0</v>
      </c>
      <c r="AJ702" s="2">
        <f>AI702*T702</f>
        <v>0</v>
      </c>
      <c r="AK702" s="2">
        <f>T702-W702</f>
        <v>184.34</v>
      </c>
      <c r="AL702" s="5">
        <f>(T702-W702)/T702</f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>(T703-W703)/T703</f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>AJ703</f>
        <v>0</v>
      </c>
      <c r="AJ703" s="2">
        <f>AI703*T703</f>
        <v>0</v>
      </c>
      <c r="AK703" s="2">
        <f>T703-W703</f>
        <v>100</v>
      </c>
      <c r="AL703" s="5">
        <f>(T703-W703)/T703</f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>(T704-W704)/T704</f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>AJ704</f>
        <v>0</v>
      </c>
      <c r="AG704" s="2">
        <v>10</v>
      </c>
      <c r="AH704" s="2">
        <v>21</v>
      </c>
      <c r="AJ704" s="2">
        <f>AI704*T704</f>
        <v>0</v>
      </c>
      <c r="AK704" s="2">
        <f>T704-W704</f>
        <v>8</v>
      </c>
      <c r="AL704" s="5">
        <f>(T704-W704)/T704</f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1103</v>
      </c>
      <c r="J705" s="2" t="s">
        <v>1104</v>
      </c>
      <c r="L705" s="2" t="s">
        <v>178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>(T705-W705)/T705</f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>AJ705</f>
        <v>0</v>
      </c>
      <c r="AG705" s="2">
        <v>10.67</v>
      </c>
      <c r="AH705" s="2">
        <v>21</v>
      </c>
      <c r="AJ705" s="2">
        <f>AI705*T705</f>
        <v>0</v>
      </c>
      <c r="AK705" s="2">
        <f>T705-W705</f>
        <v>7.33</v>
      </c>
      <c r="AL705" s="5">
        <f>(T705-W705)/T705</f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1103</v>
      </c>
      <c r="J706" s="2" t="s">
        <v>1104</v>
      </c>
      <c r="L706" s="2" t="s">
        <v>178</v>
      </c>
      <c r="M706" s="2" t="s">
        <v>41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>(T706-W706)/T706</f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>AJ706</f>
        <v>0</v>
      </c>
      <c r="AJ706" s="2">
        <f>AI706*T706</f>
        <v>0</v>
      </c>
      <c r="AK706" s="2">
        <f>T706-W706</f>
        <v>17.505000000000003</v>
      </c>
      <c r="AL706" s="5">
        <f>(T706-W706)/T706</f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1103</v>
      </c>
      <c r="J707" s="2" t="s">
        <v>1104</v>
      </c>
      <c r="L707" s="2" t="s">
        <v>178</v>
      </c>
      <c r="M707" s="2" t="s">
        <v>41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>(T707-W707)/T707</f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>AJ707</f>
        <v>0</v>
      </c>
      <c r="AG707" s="2">
        <v>10.2346</v>
      </c>
      <c r="AH707" s="2">
        <v>18</v>
      </c>
      <c r="AJ707" s="2">
        <f>AI707*T707</f>
        <v>0</v>
      </c>
      <c r="AK707" s="2">
        <f>T707-W707</f>
        <v>2.4000000000000004</v>
      </c>
      <c r="AL707" s="5">
        <f>(T707-W707)/T707</f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1103</v>
      </c>
      <c r="J708" s="2" t="s">
        <v>1104</v>
      </c>
      <c r="L708" s="2" t="s">
        <v>178</v>
      </c>
      <c r="M708" s="2" t="s">
        <v>41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>(T708-W708)/T708</f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>AJ708</f>
        <v>0</v>
      </c>
      <c r="AG708" s="2">
        <v>3.7357999999999998</v>
      </c>
      <c r="AH708" s="2">
        <v>9</v>
      </c>
      <c r="AJ708" s="2">
        <f>AI708*T708</f>
        <v>0</v>
      </c>
      <c r="AK708" s="2">
        <f>T708-W708</f>
        <v>4.0641999999999996</v>
      </c>
      <c r="AL708" s="5">
        <f>(T708-W708)/T708</f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1103</v>
      </c>
      <c r="J709" s="2" t="s">
        <v>1104</v>
      </c>
      <c r="L709" s="2" t="s">
        <v>178</v>
      </c>
      <c r="M709" s="2" t="s">
        <v>41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>(T709-W709)/T709</f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>AJ709</f>
        <v>0</v>
      </c>
      <c r="AG709" s="2">
        <v>8.1999999999999993</v>
      </c>
      <c r="AH709" s="2">
        <v>13</v>
      </c>
      <c r="AJ709" s="2">
        <f>AI709*T709</f>
        <v>0</v>
      </c>
      <c r="AK709" s="2">
        <f>T709-W709</f>
        <v>23</v>
      </c>
      <c r="AL709" s="5">
        <f>(T709-W709)/T709</f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>(T710-W710)/T710</f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>AJ710</f>
        <v>0</v>
      </c>
      <c r="AG710" s="2">
        <v>15.020300000000001</v>
      </c>
      <c r="AH710" s="2">
        <v>27.6</v>
      </c>
      <c r="AJ710" s="2">
        <f>AI710*T710</f>
        <v>0</v>
      </c>
      <c r="AK710" s="2">
        <f>T710-W710</f>
        <v>79.67519999999999</v>
      </c>
      <c r="AL710" s="5">
        <f>(T710-W710)/T710</f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>(T711-W711)/T711</f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>AJ711</f>
        <v>0</v>
      </c>
      <c r="AG711" s="2">
        <v>6.6266999999999996</v>
      </c>
      <c r="AH711" s="2">
        <v>12</v>
      </c>
      <c r="AJ711" s="2">
        <f>AI711*T711</f>
        <v>0</v>
      </c>
      <c r="AK711" s="2">
        <f>T711-W711</f>
        <v>10.746600000000001</v>
      </c>
      <c r="AL711" s="5">
        <f>(T711-W711)/T711</f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>(T712-W712)/T712</f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>AJ712</f>
        <v>0</v>
      </c>
      <c r="AG712" s="2">
        <v>3.7357999999999998</v>
      </c>
      <c r="AH712" s="2">
        <v>9</v>
      </c>
      <c r="AJ712" s="2">
        <f>AI712*T712</f>
        <v>0</v>
      </c>
      <c r="AK712" s="2">
        <f>T712-W712</f>
        <v>4.0641999999999996</v>
      </c>
      <c r="AL712" s="5">
        <f>(T712-W712)/T712</f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>(T713-W713)/T713</f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>AJ713</f>
        <v>0</v>
      </c>
      <c r="AG713" s="2">
        <v>10.6</v>
      </c>
      <c r="AH713" s="2">
        <v>18</v>
      </c>
      <c r="AJ713" s="2">
        <f>AI713*T713</f>
        <v>0</v>
      </c>
      <c r="AK713" s="2">
        <f>T713-W713</f>
        <v>44</v>
      </c>
      <c r="AL713" s="5">
        <f>(T713-W713)/T713</f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>(T714-W714)/T714</f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>AJ714</f>
        <v>0</v>
      </c>
      <c r="AJ714" s="2">
        <f>AI714*T714</f>
        <v>0</v>
      </c>
      <c r="AK714" s="2">
        <f>T714-W714</f>
        <v>4.5</v>
      </c>
      <c r="AL714" s="5">
        <f>(T714-W714)/T714</f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>(T715-W715)/T715</f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>AJ715</f>
        <v>0</v>
      </c>
      <c r="AG715" s="2">
        <v>2242.31</v>
      </c>
      <c r="AJ715" s="2">
        <f>AI715*T715</f>
        <v>0</v>
      </c>
      <c r="AK715" s="2">
        <f>T715-W715</f>
        <v>207.69000000000005</v>
      </c>
      <c r="AL715" s="5">
        <f>(T715-W715)/T715</f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>(T716-W716)/T716</f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>AJ716</f>
        <v>0</v>
      </c>
      <c r="AJ716" s="2">
        <f>AI716*T716</f>
        <v>0</v>
      </c>
      <c r="AK716" s="2">
        <f>T716-W716</f>
        <v>39.904200000000003</v>
      </c>
      <c r="AL716" s="5">
        <f>(T716-W716)/T716</f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>(T717-W717)/T717</f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>AJ717</f>
        <v>0</v>
      </c>
      <c r="AJ717" s="2">
        <f>AI717*T717</f>
        <v>0</v>
      </c>
      <c r="AK717" s="2">
        <f>T717-W717</f>
        <v>354.09659999999997</v>
      </c>
      <c r="AL717" s="5">
        <f>(T717-W717)/T717</f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>(T718-W718)/T718</f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>AJ718</f>
        <v>0</v>
      </c>
      <c r="AG718" s="2">
        <v>3.7357999999999998</v>
      </c>
      <c r="AH718" s="2">
        <v>9</v>
      </c>
      <c r="AJ718" s="2">
        <f>AI718*T718</f>
        <v>0</v>
      </c>
      <c r="AK718" s="2">
        <f>T718-W718</f>
        <v>21.056800000000003</v>
      </c>
      <c r="AL718" s="5">
        <f>(T718-W718)/T718</f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>(T719-W719)/T719</f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>AJ719</f>
        <v>0</v>
      </c>
      <c r="AJ719" s="2">
        <f>AI719*T719</f>
        <v>0</v>
      </c>
      <c r="AK719" s="2">
        <f>T719-W719</f>
        <v>30</v>
      </c>
      <c r="AL719" s="5">
        <f>(T719-W719)/T719</f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>(T720-W720)/T720</f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>AJ720</f>
        <v>0</v>
      </c>
      <c r="AJ720" s="2">
        <f>AI720*T720</f>
        <v>0</v>
      </c>
      <c r="AK720" s="2">
        <f>T720-W720</f>
        <v>50</v>
      </c>
      <c r="AL720" s="5">
        <f>(T720-W720)/T720</f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>(T721-W721)/T721</f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>AJ721</f>
        <v>0</v>
      </c>
      <c r="AG721" s="2">
        <v>7.9611999999999998</v>
      </c>
      <c r="AH721" s="2">
        <v>14.4</v>
      </c>
      <c r="AJ721" s="2">
        <f>AI721*T721</f>
        <v>0</v>
      </c>
      <c r="AK721" s="2">
        <f>T721-W721</f>
        <v>7.0388000000000002</v>
      </c>
      <c r="AL721" s="5">
        <f>(T721-W721)/T721</f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>AJ722</f>
        <v>0</v>
      </c>
      <c r="AJ722" s="2">
        <f>AI722*T722</f>
        <v>0</v>
      </c>
      <c r="AK722" s="2">
        <f>T722-W722</f>
        <v>30</v>
      </c>
      <c r="AL722" s="5">
        <f>(T722-W722)/T722</f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>(T723-W723)/T723</f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>AJ723</f>
        <v>0</v>
      </c>
      <c r="AJ723" s="2">
        <f>AI723*T723</f>
        <v>0</v>
      </c>
      <c r="AK723" s="2">
        <f>T723-W723</f>
        <v>25</v>
      </c>
      <c r="AL723" s="5">
        <f>(T723-W723)/T723</f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>(T724-W724)/T724</f>
        <v>1</v>
      </c>
      <c r="Z724" s="2" t="s">
        <v>120</v>
      </c>
      <c r="AA724" s="2" t="s">
        <v>3384</v>
      </c>
      <c r="AF724" s="2">
        <f>AJ724</f>
        <v>0</v>
      </c>
      <c r="AJ724" s="2">
        <f>AI724*T724</f>
        <v>0</v>
      </c>
      <c r="AK724" s="2">
        <f>T724-W724</f>
        <v>122.56</v>
      </c>
      <c r="AL724" s="5">
        <f>(T724-W724)/T724</f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>(T725-W725)/T725</f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>AJ725</f>
        <v>0</v>
      </c>
      <c r="AG725" s="2">
        <v>117.453</v>
      </c>
      <c r="AH725" s="2">
        <v>220</v>
      </c>
      <c r="AJ725" s="2">
        <f>AI725*T725</f>
        <v>0</v>
      </c>
      <c r="AK725" s="2">
        <f>T725-W725</f>
        <v>92.546999999999997</v>
      </c>
      <c r="AL725" s="5">
        <f>(T725-W725)/T725</f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>(T726-W726)/T726</f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>AJ726</f>
        <v>0</v>
      </c>
      <c r="AJ726" s="2">
        <f>AI726*T726</f>
        <v>0</v>
      </c>
      <c r="AK726" s="2">
        <f>T726-W726</f>
        <v>0</v>
      </c>
      <c r="AL726" s="5">
        <f>(T726-W726)/T726</f>
        <v>0</v>
      </c>
    </row>
    <row r="727" spans="1:38" x14ac:dyDescent="0.2">
      <c r="A727" s="2">
        <v>2025</v>
      </c>
      <c r="B727" s="2">
        <v>3</v>
      </c>
      <c r="C727" s="2" t="s">
        <v>3458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>(T727-W727)/T727</f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>AJ727</f>
        <v>0</v>
      </c>
      <c r="AJ727" s="2">
        <f>AI727*T727</f>
        <v>0</v>
      </c>
      <c r="AK727" s="2">
        <f>T727-W727</f>
        <v>118.19999999999999</v>
      </c>
      <c r="AL727" s="5">
        <f>(T727-W727)/T727</f>
        <v>0.6</v>
      </c>
    </row>
    <row r="728" spans="1:38" x14ac:dyDescent="0.2">
      <c r="A728" s="2">
        <v>2025</v>
      </c>
      <c r="B728" s="2">
        <v>3</v>
      </c>
      <c r="C728" s="2" t="s">
        <v>3458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>(T728-W728)/T728</f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>AJ728</f>
        <v>0</v>
      </c>
      <c r="AJ728" s="2">
        <f>AI728*T728</f>
        <v>0</v>
      </c>
      <c r="AK728" s="2">
        <f>T728-W728</f>
        <v>18.75</v>
      </c>
      <c r="AL728" s="5">
        <f>(T728-W728)/T728</f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>(T729-W729)/T729</f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>AJ729</f>
        <v>0</v>
      </c>
      <c r="AJ729" s="2">
        <f>AI729*T729</f>
        <v>0</v>
      </c>
      <c r="AK729" s="2">
        <f>T729-W729</f>
        <v>1.23</v>
      </c>
      <c r="AL729" s="5">
        <f>(T729-W729)/T729</f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>(T730-W730)/T730</f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>AJ730</f>
        <v>0</v>
      </c>
      <c r="AJ730" s="2">
        <f>AI730*T730</f>
        <v>0</v>
      </c>
      <c r="AK730" s="2">
        <f>T730-W730</f>
        <v>8.8000000000000007</v>
      </c>
      <c r="AL730" s="5">
        <f>(T730-W730)/T730</f>
        <v>0.32592592592592595</v>
      </c>
    </row>
    <row r="731" spans="1:38" x14ac:dyDescent="0.2">
      <c r="A731" s="2">
        <v>2025</v>
      </c>
      <c r="B731" s="2">
        <v>3</v>
      </c>
      <c r="C731" s="2" t="s">
        <v>3461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>(T731-W731)/T731</f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>AJ731</f>
        <v>0</v>
      </c>
      <c r="AJ731" s="2">
        <f>AI731*T731</f>
        <v>0</v>
      </c>
      <c r="AK731" s="2">
        <f>T731-W731</f>
        <v>71.500000000000014</v>
      </c>
      <c r="AL731" s="5">
        <f>(T731-W731)/T731</f>
        <v>0.39450452438755246</v>
      </c>
    </row>
    <row r="732" spans="1:38" x14ac:dyDescent="0.2">
      <c r="A732" s="2">
        <v>2025</v>
      </c>
      <c r="B732" s="2">
        <v>3</v>
      </c>
      <c r="C732" s="2" t="s">
        <v>3461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>(T732-W732)/T732</f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>AJ732</f>
        <v>0</v>
      </c>
      <c r="AJ732" s="2">
        <f>AI732*T732</f>
        <v>0</v>
      </c>
      <c r="AK732" s="2">
        <f>T732-W732</f>
        <v>0</v>
      </c>
      <c r="AL732" s="5">
        <f>(T732-W732)/T732</f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>(T733-W733)/T733</f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>AJ733</f>
        <v>0</v>
      </c>
      <c r="AJ733" s="2">
        <f>AI733*T733</f>
        <v>0</v>
      </c>
      <c r="AK733" s="2">
        <f>T733-W733</f>
        <v>40.200000000000003</v>
      </c>
      <c r="AL733" s="5">
        <f>(T733-W733)/T733</f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>(T734-W734)/T734</f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>AJ734</f>
        <v>0</v>
      </c>
      <c r="AJ734" s="2">
        <f>AI734*T734</f>
        <v>0</v>
      </c>
      <c r="AK734" s="2">
        <f>T734-W734</f>
        <v>25</v>
      </c>
      <c r="AL734" s="5">
        <f>(T734-W734)/T734</f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>(T735-W735)/T735</f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>AJ735</f>
        <v>0</v>
      </c>
      <c r="AJ735" s="2">
        <f>AI735*T735</f>
        <v>0</v>
      </c>
      <c r="AK735" s="2">
        <f>T735-W735</f>
        <v>178</v>
      </c>
      <c r="AL735" s="5">
        <f>(T735-W735)/T735</f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>(T736-W736)/T736</f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>AJ736</f>
        <v>0</v>
      </c>
      <c r="AG736" s="2">
        <v>5.4833999999999996</v>
      </c>
      <c r="AJ736" s="2">
        <f>AI736*T736</f>
        <v>0</v>
      </c>
      <c r="AK736" s="2">
        <f>T736-W736</f>
        <v>11.953200000000002</v>
      </c>
      <c r="AL736" s="5">
        <f>(T736-W736)/T736</f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>(T737-W737)/T737</f>
        <v>1</v>
      </c>
      <c r="Z737" s="2" t="s">
        <v>170</v>
      </c>
      <c r="AA737" s="2" t="s">
        <v>170</v>
      </c>
      <c r="AF737" s="2">
        <f>AJ737</f>
        <v>0</v>
      </c>
      <c r="AJ737" s="2">
        <f>AI737*T737</f>
        <v>0</v>
      </c>
      <c r="AK737" s="2">
        <f>T737-W737</f>
        <v>5</v>
      </c>
      <c r="AL737" s="5">
        <f>(T737-W737)/T737</f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>(T738-W738)/T738</f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>AJ738</f>
        <v>0</v>
      </c>
      <c r="AJ738" s="2">
        <f>AI738*T738</f>
        <v>0</v>
      </c>
      <c r="AK738" s="2">
        <f>T738-W738</f>
        <v>99.75</v>
      </c>
      <c r="AL738" s="5">
        <f>(T738-W738)/T738</f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>(T739-W739)/T739</f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>AJ739</f>
        <v>0</v>
      </c>
      <c r="AJ739" s="2">
        <f>AI739*T739</f>
        <v>0</v>
      </c>
      <c r="AK739" s="2">
        <f>T739-W739</f>
        <v>7.509999999999998</v>
      </c>
      <c r="AL739" s="5">
        <f>(T739-W739)/T739</f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>(T740-W740)/T740</f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>AJ740</f>
        <v>0</v>
      </c>
      <c r="AJ740" s="2">
        <f>AI740*T740</f>
        <v>0</v>
      </c>
      <c r="AK740" s="2">
        <f>T740-W740</f>
        <v>-6.3999999999999986</v>
      </c>
      <c r="AL740" s="5">
        <f>(T740-W740)/T740</f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>(T741-W741)/T741</f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>AJ741</f>
        <v>0</v>
      </c>
      <c r="AG741" s="2">
        <v>10.67</v>
      </c>
      <c r="AH741" s="2">
        <v>21</v>
      </c>
      <c r="AJ741" s="2">
        <f>AI741*T741</f>
        <v>0</v>
      </c>
      <c r="AK741" s="2">
        <f>T741-W741</f>
        <v>9.990000000000002</v>
      </c>
      <c r="AL741" s="5">
        <f>(T741-W741)/T741</f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>(T742-W742)/T742</f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>AJ742</f>
        <v>0</v>
      </c>
      <c r="AG742" s="2">
        <v>9.3000000000000007</v>
      </c>
      <c r="AH742" s="2">
        <v>21</v>
      </c>
      <c r="AJ742" s="2">
        <f>AI742*T742</f>
        <v>0</v>
      </c>
      <c r="AK742" s="2">
        <f>T742-W742</f>
        <v>4.6999999999999993</v>
      </c>
      <c r="AL742" s="5">
        <f>(T742-W742)/T742</f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>(T743-W743)/T743</f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>AJ743</f>
        <v>0</v>
      </c>
      <c r="AG743" s="2">
        <v>3.7357999999999998</v>
      </c>
      <c r="AH743" s="2">
        <v>9</v>
      </c>
      <c r="AJ743" s="2">
        <f>AI743*T743</f>
        <v>0</v>
      </c>
      <c r="AK743" s="2">
        <f>T743-W743</f>
        <v>4.0641999999999996</v>
      </c>
      <c r="AL743" s="5">
        <f>(T743-W743)/T743</f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>(T744-W744)/T744</f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>AJ744</f>
        <v>0</v>
      </c>
      <c r="AG744" s="2">
        <v>10.6</v>
      </c>
      <c r="AH744" s="2">
        <v>18</v>
      </c>
      <c r="AJ744" s="2">
        <f>AI744*T744</f>
        <v>0</v>
      </c>
      <c r="AK744" s="2">
        <f>T744-W744</f>
        <v>36.400000000000006</v>
      </c>
      <c r="AL744" s="5">
        <f>(T744-W744)/T744</f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>(T745-W745)/T745</f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>AJ745</f>
        <v>0</v>
      </c>
      <c r="AG745" s="2">
        <v>8.1999999999999993</v>
      </c>
      <c r="AH745" s="2">
        <v>13</v>
      </c>
      <c r="AJ745" s="2">
        <f>AI745*T745</f>
        <v>0</v>
      </c>
      <c r="AK745" s="2">
        <f>T745-W745</f>
        <v>9.5999999999999979</v>
      </c>
      <c r="AL745" s="5">
        <f>(T745-W745)/T745</f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>(T746-W746)/T746</f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>AJ746</f>
        <v>0</v>
      </c>
      <c r="AG746" s="2">
        <v>3.7555999999999998</v>
      </c>
      <c r="AH746" s="2">
        <v>7.2</v>
      </c>
      <c r="AJ746" s="2">
        <f>AI746*T746</f>
        <v>0</v>
      </c>
      <c r="AK746" s="2">
        <f>T746-W746</f>
        <v>11.377599999999999</v>
      </c>
      <c r="AL746" s="5">
        <f>(T746-W746)/T746</f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>(T747-W747)/T747</f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>AJ747</f>
        <v>0</v>
      </c>
      <c r="AG747" s="2">
        <v>0.85609999999999997</v>
      </c>
      <c r="AH747" s="2">
        <v>1.8</v>
      </c>
      <c r="AJ747" s="2">
        <f>AI747*T747</f>
        <v>0</v>
      </c>
      <c r="AK747" s="2">
        <f>T747-W747</f>
        <v>15.482899999999999</v>
      </c>
      <c r="AL747" s="5">
        <f>(T747-W747)/T747</f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>(T748-W748)/T748</f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>AJ748</f>
        <v>0</v>
      </c>
      <c r="AG748" s="2">
        <v>7.9611999999999998</v>
      </c>
      <c r="AH748" s="2">
        <v>14.4</v>
      </c>
      <c r="AJ748" s="2">
        <f>AI748*T748</f>
        <v>0</v>
      </c>
      <c r="AK748" s="2">
        <f>T748-W748</f>
        <v>6.5388000000000002</v>
      </c>
      <c r="AL748" s="5">
        <f>(T748-W748)/T748</f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>(T749-W749)/T749</f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>AJ749</f>
        <v>0</v>
      </c>
      <c r="AG749" s="2">
        <v>8.3145000000000007</v>
      </c>
      <c r="AH749" s="2">
        <v>15</v>
      </c>
      <c r="AJ749" s="2">
        <f>AI749*T749</f>
        <v>0</v>
      </c>
      <c r="AK749" s="2">
        <f>T749-W749</f>
        <v>3.6854999999999993</v>
      </c>
      <c r="AL749" s="5">
        <f>(T749-W749)/T749</f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>(T750-W750)/T750</f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>AJ750</f>
        <v>0</v>
      </c>
      <c r="AG750" s="2">
        <v>117.453</v>
      </c>
      <c r="AH750" s="2">
        <v>220</v>
      </c>
      <c r="AJ750" s="2">
        <f>AI750*T750</f>
        <v>0</v>
      </c>
      <c r="AK750" s="2">
        <f>T750-W750</f>
        <v>343.40100000000001</v>
      </c>
      <c r="AL750" s="5">
        <f>(T750-W750)/T750</f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>(T751-W751)/T751</f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>AJ751</f>
        <v>0</v>
      </c>
      <c r="AG751" s="2">
        <v>122.446</v>
      </c>
      <c r="AH751" s="2">
        <v>230</v>
      </c>
      <c r="AJ751" s="2">
        <f>AI751*T751</f>
        <v>0</v>
      </c>
      <c r="AK751" s="2">
        <f>T751-W751</f>
        <v>159.32800000000003</v>
      </c>
      <c r="AL751" s="5">
        <f>(T751-W751)/T751</f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>(T752-W752)/T752</f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>AJ752</f>
        <v>0</v>
      </c>
      <c r="AG752" s="2">
        <f>110.125+11.77</f>
        <v>121.895</v>
      </c>
      <c r="AJ752" s="2">
        <f>AI752*T752</f>
        <v>0</v>
      </c>
      <c r="AK752" s="2">
        <f>T752-W752</f>
        <v>23.105000000000004</v>
      </c>
      <c r="AL752" s="5">
        <f>(T752-W752)/T752</f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>(T753-W753)/T753</f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>AJ753</f>
        <v>0</v>
      </c>
      <c r="AJ753" s="2">
        <f>AI753*T753</f>
        <v>0</v>
      </c>
      <c r="AK753" s="2">
        <f>T753-W753</f>
        <v>161.16000000000003</v>
      </c>
      <c r="AL753" s="5">
        <f>(T753-W753)/T753</f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>AJ754</f>
        <v>0</v>
      </c>
      <c r="AJ754" s="2">
        <f>AI754*T754</f>
        <v>0</v>
      </c>
      <c r="AK754" s="2">
        <f>T754-W754</f>
        <v>0</v>
      </c>
      <c r="AL754" s="5">
        <f>(T754-W754)/T754</f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>AJ755</f>
        <v>0</v>
      </c>
      <c r="AJ755" s="2">
        <f>AI755*T755</f>
        <v>0</v>
      </c>
      <c r="AK755" s="2">
        <f>T755-W755</f>
        <v>-20000</v>
      </c>
      <c r="AL755" s="5">
        <f>(T755-W755)/T755</f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>AJ756</f>
        <v>0</v>
      </c>
      <c r="AJ756" s="2">
        <f>AI756*T756</f>
        <v>0</v>
      </c>
      <c r="AK756" s="2">
        <f>T756-W756</f>
        <v>7.26</v>
      </c>
      <c r="AL756" s="5">
        <f>(T756-W756)/T756</f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>AJ757</f>
        <v>0</v>
      </c>
      <c r="AJ757" s="2">
        <f>AI757*T757</f>
        <v>0</v>
      </c>
      <c r="AK757" s="2">
        <f>T757-W757</f>
        <v>61.949999999999989</v>
      </c>
      <c r="AL757" s="5">
        <f>(T757-W757)/T757</f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>AJ758</f>
        <v>0</v>
      </c>
      <c r="AJ758" s="2">
        <f>AI758*T758</f>
        <v>0</v>
      </c>
      <c r="AK758" s="2">
        <f>T758-W758</f>
        <v>0</v>
      </c>
      <c r="AL758" s="5" t="e">
        <f>(T758-W758)/T758</f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>(T759-W759)/T759</f>
        <v>1</v>
      </c>
      <c r="Z759" s="2" t="s">
        <v>105</v>
      </c>
      <c r="AF759" s="2">
        <f>AJ759</f>
        <v>0</v>
      </c>
      <c r="AJ759" s="2">
        <f>AI759*T759</f>
        <v>0</v>
      </c>
      <c r="AK759" s="2">
        <f>T759-W759</f>
        <v>2394</v>
      </c>
      <c r="AL759" s="5">
        <f>(T759-W759)/T759</f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>(T760-W760)/T760</f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>AJ760</f>
        <v>0</v>
      </c>
      <c r="AJ760" s="2">
        <f>AI760*T760</f>
        <v>0</v>
      </c>
      <c r="AK760" s="2">
        <f>T760-W760</f>
        <v>37.799999999999997</v>
      </c>
      <c r="AL760" s="5">
        <f>(T760-W760)/T760</f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>(T761-W761)/T761</f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>AJ761</f>
        <v>0</v>
      </c>
      <c r="AJ761" s="2">
        <f>AI761*T761</f>
        <v>0</v>
      </c>
      <c r="AK761" s="2">
        <f>T761-W761</f>
        <v>12.5</v>
      </c>
      <c r="AL761" s="5">
        <f>(T761-W761)/T761</f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>(T762-W762)/T762</f>
        <v>1</v>
      </c>
      <c r="Z762" s="2" t="s">
        <v>120</v>
      </c>
      <c r="AA762" s="2" t="s">
        <v>3384</v>
      </c>
      <c r="AF762" s="2">
        <f>AJ762</f>
        <v>0</v>
      </c>
      <c r="AJ762" s="2">
        <f>AI762*T762</f>
        <v>0</v>
      </c>
      <c r="AK762" s="2">
        <f>T762-W762</f>
        <v>12.22</v>
      </c>
      <c r="AL762" s="5">
        <f>(T762-W762)/T762</f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>(T763-W763)/T763</f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>AJ763</f>
        <v>0</v>
      </c>
      <c r="AG763" s="2">
        <v>8.1999999999999993</v>
      </c>
      <c r="AH763" s="2">
        <v>13</v>
      </c>
      <c r="AJ763" s="2">
        <f>AI763*T763</f>
        <v>0</v>
      </c>
      <c r="AK763" s="2">
        <f>T763-W763</f>
        <v>23</v>
      </c>
      <c r="AL763" s="5">
        <f>(T763-W763)/T763</f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>(T764-W764)/T764</f>
        <v>1</v>
      </c>
      <c r="Z764" s="2" t="s">
        <v>118</v>
      </c>
      <c r="AF764" s="2">
        <f>AJ764</f>
        <v>0</v>
      </c>
      <c r="AJ764" s="2">
        <f>AI764*T764</f>
        <v>0</v>
      </c>
      <c r="AK764" s="2">
        <f>T764-W764</f>
        <v>28.57</v>
      </c>
      <c r="AL764" s="5">
        <f>(T764-W764)/T764</f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>(T765-W765)/T765</f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>AJ765</f>
        <v>0</v>
      </c>
      <c r="AJ765" s="2">
        <f>AI765*T765</f>
        <v>0</v>
      </c>
      <c r="AK765" s="2">
        <f>T765-W765</f>
        <v>136.80000000000001</v>
      </c>
      <c r="AL765" s="5">
        <f>(T765-W765)/T765</f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>(T766-W766)/T766</f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>AJ766</f>
        <v>0</v>
      </c>
      <c r="AJ766" s="2">
        <f>AI766*T766</f>
        <v>0</v>
      </c>
      <c r="AK766" s="2">
        <f>T766-W766</f>
        <v>50</v>
      </c>
      <c r="AL766" s="5">
        <f>(T766-W766)/T766</f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>(T767-W767)/T767</f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>AJ767</f>
        <v>0</v>
      </c>
      <c r="AJ767" s="2">
        <f>AI767*T767</f>
        <v>0</v>
      </c>
      <c r="AK767" s="2">
        <f>T767-W767</f>
        <v>312.5</v>
      </c>
      <c r="AL767" s="5">
        <f>(T767-W767)/T767</f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>(T768-W768)/T768</f>
        <v>1</v>
      </c>
      <c r="Z768" s="2" t="s">
        <v>118</v>
      </c>
      <c r="AF768" s="2">
        <f>AJ768</f>
        <v>0</v>
      </c>
      <c r="AJ768" s="2">
        <f>AI768*T768</f>
        <v>0</v>
      </c>
      <c r="AK768" s="2">
        <f>T768-W768</f>
        <v>252.66</v>
      </c>
      <c r="AL768" s="5">
        <f>(T768-W768)/T768</f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>(T769-W769)/T769</f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>AJ769</f>
        <v>0</v>
      </c>
      <c r="AJ769" s="2">
        <f>AI769*T769</f>
        <v>0</v>
      </c>
      <c r="AK769" s="2">
        <f>T769-W769</f>
        <v>800</v>
      </c>
      <c r="AL769" s="5">
        <f>(T769-W769)/T769</f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>(T770-W770)/T770</f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>AJ770</f>
        <v>0</v>
      </c>
      <c r="AJ770" s="2">
        <f>AI770*T770</f>
        <v>0</v>
      </c>
      <c r="AK770" s="2">
        <f>T770-W770</f>
        <v>103.5</v>
      </c>
      <c r="AL770" s="5">
        <f>(T770-W770)/T770</f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>AJ771</f>
        <v>0</v>
      </c>
      <c r="AJ771" s="2">
        <f>AI771*T771</f>
        <v>0</v>
      </c>
      <c r="AK771" s="2">
        <f>T771-W771</f>
        <v>0</v>
      </c>
      <c r="AL771" s="5" t="e">
        <f>(T771-W771)/T771</f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>AJ772</f>
        <v>0</v>
      </c>
      <c r="AJ772" s="2">
        <f>AI772*T772</f>
        <v>0</v>
      </c>
      <c r="AK772" s="2">
        <f>T772-W772</f>
        <v>22.6</v>
      </c>
      <c r="AL772" s="5">
        <f>(T772-W772)/T772</f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>AJ773</f>
        <v>0</v>
      </c>
      <c r="AJ773" s="2">
        <f>AI773*T773</f>
        <v>0</v>
      </c>
      <c r="AK773" s="2">
        <f>T773-W773</f>
        <v>352.72999999999996</v>
      </c>
      <c r="AL773" s="5">
        <f>(T773-W773)/T773</f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>AJ774</f>
        <v>0</v>
      </c>
      <c r="AJ774" s="2">
        <f>AI774*T774</f>
        <v>0</v>
      </c>
      <c r="AK774" s="2">
        <f>T774-W774</f>
        <v>43.8</v>
      </c>
      <c r="AL774" s="5">
        <f>(T774-W774)/T774</f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>AJ775</f>
        <v>0</v>
      </c>
      <c r="AJ775" s="2">
        <f>AI775*T775</f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>AJ776</f>
        <v>0</v>
      </c>
      <c r="AJ776" s="2">
        <f>AI776*T776</f>
        <v>0</v>
      </c>
      <c r="AK776" s="2">
        <f>T776-W776</f>
        <v>14.399999999999999</v>
      </c>
      <c r="AL776" s="5">
        <f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>AJ777</f>
        <v>0</v>
      </c>
      <c r="AJ777" s="2">
        <f>AI777*T777</f>
        <v>0</v>
      </c>
      <c r="AK777" s="2">
        <f>T777-W777</f>
        <v>0</v>
      </c>
      <c r="AL777" s="5" t="e">
        <f>(T777-W777)/T777</f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>AJ778</f>
        <v>0</v>
      </c>
      <c r="AJ778" s="2">
        <f>AI778*T778</f>
        <v>0</v>
      </c>
      <c r="AK778" s="2">
        <f>T778-W778</f>
        <v>25</v>
      </c>
      <c r="AL778" s="5">
        <f>(T778-W778)/T778</f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>(T779-W779)/T779</f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>AJ779</f>
        <v>0</v>
      </c>
      <c r="AG779" s="2">
        <v>1.8107</v>
      </c>
      <c r="AH779" s="2">
        <v>3</v>
      </c>
      <c r="AJ779" s="2">
        <f>AI779*T779</f>
        <v>0</v>
      </c>
      <c r="AK779" s="2">
        <f>T779-W779</f>
        <v>3.1893000000000002</v>
      </c>
      <c r="AL779" s="5">
        <f>(T779-W779)/T779</f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>(T780-W780)/T780</f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>AJ780</f>
        <v>0</v>
      </c>
      <c r="AG780" s="2">
        <v>20.3</v>
      </c>
      <c r="AH780" s="2">
        <v>30.6</v>
      </c>
      <c r="AJ780" s="2">
        <f>AI780*T780</f>
        <v>0</v>
      </c>
      <c r="AK780" s="2">
        <f>T780-W780</f>
        <v>4.6999999999999993</v>
      </c>
      <c r="AL780" s="5">
        <f>(T780-W780)/T780</f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>(T781-W781)/T781</f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>AJ781</f>
        <v>0</v>
      </c>
      <c r="AG781" s="2">
        <v>18.934200000000001</v>
      </c>
      <c r="AH781" s="2">
        <v>29</v>
      </c>
      <c r="AJ781" s="2">
        <f>AI781*T781</f>
        <v>0</v>
      </c>
      <c r="AK781" s="2">
        <f>T781-W781</f>
        <v>44.263199999999998</v>
      </c>
      <c r="AL781" s="5">
        <f>(T781-W781)/T781</f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>(T782-W782)/T782</f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>AJ782</f>
        <v>0</v>
      </c>
      <c r="AG782" s="2">
        <v>7.2217000000000002</v>
      </c>
      <c r="AH782" s="2">
        <v>14.4</v>
      </c>
      <c r="AJ782" s="2">
        <f>AI782*T782</f>
        <v>0</v>
      </c>
      <c r="AK782" s="2">
        <f>T782-W782</f>
        <v>5.9782999999999991</v>
      </c>
      <c r="AL782" s="5">
        <f>(T782-W782)/T782</f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>(T783-W783)/T783</f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>AJ783</f>
        <v>0</v>
      </c>
      <c r="AJ783" s="2">
        <f>AI783*T783</f>
        <v>0</v>
      </c>
      <c r="AK783" s="2">
        <f>T783-W783</f>
        <v>7.125</v>
      </c>
      <c r="AL783" s="5">
        <f>(T783-W783)/T783</f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>(T784-W784)/T784</f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>AJ784</f>
        <v>0</v>
      </c>
      <c r="AJ784" s="2">
        <f>AI784*T784</f>
        <v>0</v>
      </c>
      <c r="AK784" s="2">
        <f>T784-W784</f>
        <v>19.8</v>
      </c>
      <c r="AL784" s="5">
        <f>(T784-W784)/T784</f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>(T785-W785)/T785</f>
        <v>0.44138749999999999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>AJ785</f>
        <v>0</v>
      </c>
      <c r="AJ785" s="2">
        <f>AI785*T785</f>
        <v>0</v>
      </c>
      <c r="AK785" s="2">
        <f>T785-W785</f>
        <v>10.593299999999999</v>
      </c>
      <c r="AL785" s="5">
        <f>(T785-W785)/T785</f>
        <v>0.44138749999999999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>(T786-W786)/T786</f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>AJ786</f>
        <v>0</v>
      </c>
      <c r="AJ786" s="2">
        <f>AI786*T786</f>
        <v>0</v>
      </c>
      <c r="AK786" s="2">
        <f>T786-W786</f>
        <v>16.8</v>
      </c>
      <c r="AL786" s="5">
        <f>(T786-W786)/T786</f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>(T787-W787)/T787</f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>AJ787</f>
        <v>0</v>
      </c>
      <c r="AG787" s="2">
        <v>10.6</v>
      </c>
      <c r="AH787" s="2">
        <v>18</v>
      </c>
      <c r="AJ787" s="2">
        <f>AI787*T787</f>
        <v>0</v>
      </c>
      <c r="AK787" s="2">
        <f>T787-W787</f>
        <v>22.200000000000003</v>
      </c>
      <c r="AL787" s="5">
        <f>(T787-W787)/T787</f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>AJ788</f>
        <v>0</v>
      </c>
      <c r="AJ788" s="2">
        <f>AI788*T788</f>
        <v>0</v>
      </c>
      <c r="AK788" s="2">
        <f>T788-W788</f>
        <v>0</v>
      </c>
      <c r="AL788" s="5" t="e">
        <f>(T788-W788)/T788</f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>AJ789</f>
        <v>0</v>
      </c>
      <c r="AJ789" s="2">
        <f>AI789*T789</f>
        <v>0</v>
      </c>
      <c r="AK789" s="2">
        <f>T789-W789</f>
        <v>4222.4049999999997</v>
      </c>
      <c r="AL789" s="5">
        <f>(T789-W789)/T789</f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>AJ790</f>
        <v>0</v>
      </c>
      <c r="AJ790" s="2">
        <f>AI790*T790</f>
        <v>0</v>
      </c>
      <c r="AK790" s="2">
        <f>T790-W790</f>
        <v>45.2</v>
      </c>
      <c r="AL790" s="5">
        <f>(T790-W790)/T790</f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>(T791-W791)/T791</f>
        <v>1</v>
      </c>
      <c r="Z791" s="2" t="s">
        <v>170</v>
      </c>
      <c r="AA791" s="2" t="s">
        <v>170</v>
      </c>
      <c r="AF791" s="2">
        <f>AJ791</f>
        <v>0</v>
      </c>
      <c r="AJ791" s="2">
        <f>AI791*T791</f>
        <v>0</v>
      </c>
      <c r="AK791" s="2">
        <f>T791-W791</f>
        <v>10</v>
      </c>
      <c r="AL791" s="5">
        <f>(T791-W791)/T791</f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>AJ792</f>
        <v>0</v>
      </c>
      <c r="AG792" s="2">
        <v>117.453</v>
      </c>
      <c r="AH792" s="2">
        <v>220</v>
      </c>
      <c r="AJ792" s="2">
        <f>AI792*T792</f>
        <v>0</v>
      </c>
      <c r="AK792" s="2">
        <f>T792-W792</f>
        <v>100.917</v>
      </c>
      <c r="AL792" s="5">
        <f>(T792-W792)/T792</f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>AJ793</f>
        <v>0</v>
      </c>
      <c r="AJ793" s="2">
        <f>AI793*T793</f>
        <v>0</v>
      </c>
      <c r="AK793" s="2">
        <f>T793-W793</f>
        <v>0</v>
      </c>
      <c r="AL793" s="5">
        <f>(T793-W793)/T793</f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3384</v>
      </c>
      <c r="AF794" s="2">
        <f>AJ794</f>
        <v>0</v>
      </c>
      <c r="AJ794" s="2">
        <f>AI794*T794</f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>(T795-W795)/T795</f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>AJ795</f>
        <v>0</v>
      </c>
      <c r="AJ795" s="2">
        <f>AI795*T795</f>
        <v>0</v>
      </c>
      <c r="AK795" s="2">
        <f>T795-W795</f>
        <v>96.77000000000001</v>
      </c>
      <c r="AL795" s="5">
        <f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>(T796-W796)/T796</f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>AJ796</f>
        <v>0</v>
      </c>
      <c r="AJ796" s="2">
        <f>AI796*T796</f>
        <v>0</v>
      </c>
      <c r="AK796" s="2">
        <f>T796-W796</f>
        <v>0</v>
      </c>
      <c r="AL796" s="5">
        <f>(T796-W796)/T796</f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>(T797-W797)/T797</f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>AJ797</f>
        <v>0</v>
      </c>
      <c r="AG797" s="2">
        <v>117.453</v>
      </c>
      <c r="AH797" s="2">
        <v>220</v>
      </c>
      <c r="AJ797" s="2">
        <f>AI797*T797</f>
        <v>0</v>
      </c>
      <c r="AK797" s="2">
        <f>T797-W797</f>
        <v>165.09399999999999</v>
      </c>
      <c r="AL797" s="5">
        <f>(T797-W797)/T797</f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>(T798-W798)/T798</f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>AJ798</f>
        <v>0</v>
      </c>
      <c r="AG798" s="2">
        <v>1.1399999999999999</v>
      </c>
      <c r="AH798" s="2">
        <v>1.1399999999999999</v>
      </c>
      <c r="AJ798" s="2">
        <f>AI798*T798</f>
        <v>0</v>
      </c>
      <c r="AK798" s="2">
        <f>T798-W798</f>
        <v>0</v>
      </c>
      <c r="AL798" s="5">
        <f>(T798-W798)/T798</f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>(T799-W799)/T799</f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>AJ799</f>
        <v>0</v>
      </c>
      <c r="AJ799" s="2">
        <f>AI799*T799</f>
        <v>0</v>
      </c>
      <c r="AK799" s="2">
        <f>T799-W799</f>
        <v>448</v>
      </c>
      <c r="AL799" s="5">
        <f>(T799-W799)/T799</f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>(T800-W800)/T800</f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>AJ800</f>
        <v>0</v>
      </c>
      <c r="AJ800" s="2">
        <f>AI800*T800</f>
        <v>0</v>
      </c>
      <c r="AK800" s="2">
        <f>T800-W800</f>
        <v>530</v>
      </c>
      <c r="AL800" s="5">
        <f>(T800-W800)/T800</f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>(T801-W801)/T801</f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>AJ801</f>
        <v>0</v>
      </c>
      <c r="AJ801" s="2">
        <f>AI801*T801</f>
        <v>0</v>
      </c>
      <c r="AK801" s="2">
        <f>T801-W801</f>
        <v>100</v>
      </c>
      <c r="AL801" s="5">
        <f>(T801-W801)/T801</f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>AJ802</f>
        <v>0</v>
      </c>
      <c r="AJ802" s="2">
        <f>AI802*T802</f>
        <v>0</v>
      </c>
      <c r="AK802" s="2">
        <f>T802-W802</f>
        <v>0</v>
      </c>
      <c r="AL802" s="5" t="e">
        <f>(T802-W802)/T802</f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>(T803-W803)/T803</f>
        <v>1</v>
      </c>
      <c r="Z803" s="2" t="s">
        <v>118</v>
      </c>
      <c r="AF803" s="2">
        <f>AJ803</f>
        <v>0</v>
      </c>
      <c r="AJ803" s="2">
        <f>AI803*T803</f>
        <v>0</v>
      </c>
      <c r="AK803" s="2">
        <f>T803-W803</f>
        <v>356.81</v>
      </c>
      <c r="AL803" s="5">
        <f>(T803-W803)/T803</f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>(T804-W804)/T804</f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>AJ804</f>
        <v>0</v>
      </c>
      <c r="AJ804" s="2">
        <f>AI804*T804</f>
        <v>0</v>
      </c>
      <c r="AK804" s="2">
        <f>T804-W804</f>
        <v>9.5599999999999987</v>
      </c>
      <c r="AL804" s="5">
        <f>(T804-W804)/T804</f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>(T805-W805)/T805</f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>AJ805</f>
        <v>0</v>
      </c>
      <c r="AG805" s="2">
        <v>6.6266999999999996</v>
      </c>
      <c r="AH805" s="2">
        <v>12</v>
      </c>
      <c r="AJ805" s="2">
        <f>AI805*T805</f>
        <v>0</v>
      </c>
      <c r="AK805" s="2">
        <f>T805-W805</f>
        <v>10.746600000000001</v>
      </c>
      <c r="AL805" s="5">
        <f>(T805-W805)/T805</f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>(T806-W806)/T806</f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>AJ806</f>
        <v>0</v>
      </c>
      <c r="AG806" s="2">
        <v>10.2346</v>
      </c>
      <c r="AH806" s="2">
        <v>18</v>
      </c>
      <c r="AJ806" s="2">
        <f>AI806*T806</f>
        <v>0</v>
      </c>
      <c r="AK806" s="2">
        <f>T806-W806</f>
        <v>2.4000000000000004</v>
      </c>
      <c r="AL806" s="5">
        <f>(T806-W806)/T806</f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>(T807-W807)/T807</f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>AJ807</f>
        <v>0</v>
      </c>
      <c r="AG807" s="2">
        <v>3.7357999999999998</v>
      </c>
      <c r="AH807" s="2">
        <v>9</v>
      </c>
      <c r="AJ807" s="2">
        <f>AI807*T807</f>
        <v>0</v>
      </c>
      <c r="AK807" s="2">
        <f>T807-W807</f>
        <v>4.0641999999999996</v>
      </c>
      <c r="AL807" s="5">
        <f>(T807-W807)/T807</f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>(T808-W808)/T808</f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>AJ808</f>
        <v>0</v>
      </c>
      <c r="AJ808" s="2">
        <f>AI808*T808</f>
        <v>0</v>
      </c>
      <c r="AK808" s="2">
        <f>T808-W808</f>
        <v>42</v>
      </c>
      <c r="AL808" s="5">
        <f>(T808-W808)/T808</f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>(T809-W809)/T809</f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>AJ809</f>
        <v>0</v>
      </c>
      <c r="AJ809" s="2">
        <f>AI809*T809</f>
        <v>0</v>
      </c>
      <c r="AK809" s="2">
        <f>T809-W809</f>
        <v>49.5</v>
      </c>
      <c r="AL809" s="5">
        <f>(T809-W809)/T809</f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>(T810-W810)/T810</f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>AJ810</f>
        <v>0</v>
      </c>
      <c r="AJ810" s="2">
        <f>AI810*T810</f>
        <v>0</v>
      </c>
      <c r="AK810" s="2">
        <f>T810-W810</f>
        <v>44.1</v>
      </c>
      <c r="AL810" s="5">
        <f>(T810-W810)/T810</f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>(T811-W811)/T811</f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>AJ811</f>
        <v>0</v>
      </c>
      <c r="AJ811" s="2">
        <f>AI811*T811</f>
        <v>0</v>
      </c>
      <c r="AK811" s="2">
        <f>T811-W811</f>
        <v>12</v>
      </c>
      <c r="AL811" s="5">
        <f>(T811-W811)/T811</f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>(T812-W812)/T812</f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>AJ812</f>
        <v>0</v>
      </c>
      <c r="AJ812" s="2">
        <f>AI812*T812</f>
        <v>0</v>
      </c>
      <c r="AK812" s="2">
        <f>T812-W812</f>
        <v>3.339999999999999</v>
      </c>
      <c r="AL812" s="5">
        <f>(T812-W812)/T812</f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>(T813-W813)/T813</f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>AJ813</f>
        <v>0</v>
      </c>
      <c r="AG813" s="2">
        <v>122.446</v>
      </c>
      <c r="AH813" s="2">
        <v>230</v>
      </c>
      <c r="AJ813" s="2">
        <f>AI813*T813</f>
        <v>0</v>
      </c>
      <c r="AK813" s="2">
        <f>T813-W813</f>
        <v>95.924000000000007</v>
      </c>
      <c r="AL813" s="5">
        <f>(T813-W813)/T813</f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>(T814-W814)/T814</f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>AJ814</f>
        <v>0</v>
      </c>
      <c r="AG814" s="2">
        <v>1.1399999999999999</v>
      </c>
      <c r="AH814" s="2">
        <v>1.1399999999999999</v>
      </c>
      <c r="AJ814" s="2">
        <f>AI814*T814</f>
        <v>0</v>
      </c>
      <c r="AK814" s="2">
        <f>T814-W814</f>
        <v>0</v>
      </c>
      <c r="AL814" s="5">
        <f>(T814-W814)/T814</f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>(T815-W815)/T815</f>
        <v>1</v>
      </c>
      <c r="Z815" s="2" t="s">
        <v>118</v>
      </c>
      <c r="AF815" s="2">
        <f>AJ815</f>
        <v>0</v>
      </c>
      <c r="AJ815" s="2">
        <f>AI815*T815</f>
        <v>0</v>
      </c>
      <c r="AK815" s="2">
        <f>T815-W815</f>
        <v>49.71</v>
      </c>
      <c r="AL815" s="5">
        <f>(T815-W815)/T815</f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>(T816-W816)/T816</f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>AJ816</f>
        <v>0</v>
      </c>
      <c r="AJ816" s="2">
        <f>AI816*T816</f>
        <v>0</v>
      </c>
      <c r="AK816" s="2">
        <f>T816-W816</f>
        <v>110.39999999999999</v>
      </c>
      <c r="AL816" s="5">
        <f>(T816-W816)/T816</f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>(T817-W817)/T817</f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>AJ817</f>
        <v>0</v>
      </c>
      <c r="AJ817" s="2">
        <f>AI817*T817</f>
        <v>0</v>
      </c>
      <c r="AK817" s="2">
        <f>T817-W817</f>
        <v>25</v>
      </c>
      <c r="AL817" s="5">
        <f>(T817-W817)/T817</f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>(T818-W818)/T818</f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>AJ818</f>
        <v>0</v>
      </c>
      <c r="AG818" s="2">
        <v>6.6266999999999996</v>
      </c>
      <c r="AH818" s="2">
        <v>12</v>
      </c>
      <c r="AJ818" s="2">
        <f>AI818*T818</f>
        <v>0</v>
      </c>
      <c r="AK818" s="2">
        <f>T818-W818</f>
        <v>16.119900000000001</v>
      </c>
      <c r="AL818" s="5">
        <f>(T818-W818)/T818</f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>(T819-W819)/T819</f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>AJ819</f>
        <v>0</v>
      </c>
      <c r="AG819" s="2">
        <v>5.2972999999999999</v>
      </c>
      <c r="AH819" s="2">
        <v>10.8</v>
      </c>
      <c r="AJ819" s="2">
        <f>AI819*T819</f>
        <v>0</v>
      </c>
      <c r="AK819" s="2">
        <f>T819-W819</f>
        <v>4.3026999999999997</v>
      </c>
      <c r="AL819" s="5">
        <f>(T819-W819)/T819</f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>(T820-W820)/T820</f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>AJ820</f>
        <v>0</v>
      </c>
      <c r="AG820" s="2">
        <v>7.2217000000000002</v>
      </c>
      <c r="AH820" s="2">
        <v>14.4</v>
      </c>
      <c r="AJ820" s="2">
        <f>AI820*T820</f>
        <v>0</v>
      </c>
      <c r="AK820" s="2">
        <f>T820-W820</f>
        <v>5.9782999999999991</v>
      </c>
      <c r="AL820" s="5">
        <f>(T820-W820)/T820</f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>(T821-W821)/T821</f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>AJ821</f>
        <v>0</v>
      </c>
      <c r="AG821" s="2">
        <v>10.6</v>
      </c>
      <c r="AH821" s="2">
        <v>18</v>
      </c>
      <c r="AJ821" s="2">
        <f>AI821*T821</f>
        <v>0</v>
      </c>
      <c r="AK821" s="2">
        <f>T821-W821</f>
        <v>22.200000000000003</v>
      </c>
      <c r="AL821" s="5">
        <f>(T821-W821)/T821</f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>(T822-W822)/T822</f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>AJ822</f>
        <v>0</v>
      </c>
      <c r="AG822" s="2">
        <v>8.1999999999999993</v>
      </c>
      <c r="AH822" s="2">
        <v>13</v>
      </c>
      <c r="AJ822" s="2">
        <f>AI822*T822</f>
        <v>0</v>
      </c>
      <c r="AK822" s="2">
        <f>T822-W822</f>
        <v>14.399999999999999</v>
      </c>
      <c r="AL822" s="5">
        <f>(T822-W822)/T822</f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>(T823-W823)/T823</f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>AJ823</f>
        <v>0</v>
      </c>
      <c r="AG823" s="2">
        <v>15.020300000000001</v>
      </c>
      <c r="AH823" s="2">
        <v>27.6</v>
      </c>
      <c r="AJ823" s="2">
        <f>AI823*T823</f>
        <v>0</v>
      </c>
      <c r="AK823" s="2">
        <f>T823-W823</f>
        <v>12.959399999999999</v>
      </c>
      <c r="AL823" s="5">
        <f>(T823-W823)/T823</f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>(T824-W824)/T824</f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>AJ824</f>
        <v>0</v>
      </c>
      <c r="AG824" s="2">
        <f>95.4+8.32</f>
        <v>103.72</v>
      </c>
      <c r="AH824" s="2">
        <v>162.84</v>
      </c>
      <c r="AJ824" s="2">
        <f>AI824*T824</f>
        <v>0</v>
      </c>
      <c r="AK824" s="2">
        <f>T824-W824</f>
        <v>91.28</v>
      </c>
      <c r="AL824" s="5">
        <f>(T824-W824)/T824</f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>(T825-W825)/T825</f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>AJ825</f>
        <v>0</v>
      </c>
      <c r="AG825" s="2">
        <v>137.1</v>
      </c>
      <c r="AH825" s="2">
        <v>260</v>
      </c>
      <c r="AJ825" s="2">
        <f>AI825*T825</f>
        <v>0</v>
      </c>
      <c r="AK825" s="2">
        <f>T825-W825</f>
        <v>122.9</v>
      </c>
      <c r="AL825" s="5">
        <f>(T825-W825)/T825</f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>(T826-W826)/T826</f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>AJ826</f>
        <v>0</v>
      </c>
      <c r="AG826" s="2">
        <v>1.1399999999999999</v>
      </c>
      <c r="AH826" s="2">
        <v>1.1399999999999999</v>
      </c>
      <c r="AJ826" s="2">
        <f>AI826*T826</f>
        <v>0</v>
      </c>
      <c r="AK826" s="2">
        <f>T826-W826</f>
        <v>0</v>
      </c>
      <c r="AL826" s="5">
        <f>(T826-W826)/T826</f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>(T827-W827)/T827</f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>AJ827</f>
        <v>0</v>
      </c>
      <c r="AJ827" s="2">
        <f>AI827*T827</f>
        <v>0</v>
      </c>
      <c r="AK827" s="2">
        <f>T827-W827</f>
        <v>11500</v>
      </c>
      <c r="AL827" s="5">
        <f>(T827-W827)/T827</f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>AJ828</f>
        <v>0</v>
      </c>
      <c r="AJ828" s="2">
        <f>AI828*T828</f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>(T829-W829)/T829</f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>AJ829</f>
        <v>0</v>
      </c>
      <c r="AG829" s="2">
        <v>10.67</v>
      </c>
      <c r="AH829" s="2">
        <v>21</v>
      </c>
      <c r="AJ829" s="2">
        <f>AI829*T829</f>
        <v>0</v>
      </c>
      <c r="AK829" s="2">
        <f>T829-W829</f>
        <v>7.33</v>
      </c>
      <c r="AL829" s="5">
        <f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>(T830-W830)/T830</f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>AJ830</f>
        <v>0</v>
      </c>
      <c r="AJ830" s="2">
        <f>AI830*T830</f>
        <v>0</v>
      </c>
      <c r="AK830" s="2">
        <f>T830-W830</f>
        <v>9.2650000000000006</v>
      </c>
      <c r="AL830" s="5">
        <f>(T830-W830)/T830</f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>(T831-W831)/T831</f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>AJ831</f>
        <v>0</v>
      </c>
      <c r="AG831" s="2">
        <v>3.7357999999999998</v>
      </c>
      <c r="AH831" s="2">
        <v>9</v>
      </c>
      <c r="AJ831" s="2">
        <f>AI831*T831</f>
        <v>0</v>
      </c>
      <c r="AK831" s="2">
        <f>T831-W831</f>
        <v>4.0641999999999996</v>
      </c>
      <c r="AL831" s="5">
        <f>(T831-W831)/T831</f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>(T832-W832)/T832</f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>AJ832</f>
        <v>0</v>
      </c>
      <c r="AG832" s="2">
        <v>121.46</v>
      </c>
      <c r="AH832" s="2">
        <v>210</v>
      </c>
      <c r="AJ832" s="2">
        <f>AI832*T832</f>
        <v>0</v>
      </c>
      <c r="AK832" s="2">
        <f>T832-W832</f>
        <v>71.739999999999995</v>
      </c>
      <c r="AL832" s="5">
        <f>(T832-W832)/T832</f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>(T833-W833)/T833</f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>AJ833</f>
        <v>0</v>
      </c>
      <c r="AJ833" s="2">
        <f>AI833*T833</f>
        <v>0</v>
      </c>
      <c r="AK833" s="2">
        <f>T833-W833</f>
        <v>0</v>
      </c>
      <c r="AL833" s="5">
        <f>(T833-W833)/T833</f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>(T834-W834)/T834</f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>AJ834</f>
        <v>0</v>
      </c>
      <c r="AG834" s="2">
        <v>117.453</v>
      </c>
      <c r="AH834" s="2">
        <v>220</v>
      </c>
      <c r="AJ834" s="2">
        <f>AI834*T834</f>
        <v>0</v>
      </c>
      <c r="AK834" s="2">
        <f>T834-W834</f>
        <v>82.546999999999997</v>
      </c>
      <c r="AL834" s="5">
        <f>(T834-W834)/T834</f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>(T835-W835)/T835</f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>AJ835</f>
        <v>0</v>
      </c>
      <c r="AJ835" s="2">
        <f>AI835*T835</f>
        <v>0</v>
      </c>
      <c r="AK835" s="2">
        <f>T835-W835</f>
        <v>0</v>
      </c>
      <c r="AL835" s="5">
        <f>(T835-W835)/T835</f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>(T836-W836)/T836</f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>AJ836</f>
        <v>0</v>
      </c>
      <c r="AJ836" s="2">
        <f>AI836*T836</f>
        <v>0</v>
      </c>
      <c r="AK836" s="2">
        <f>T836-W836</f>
        <v>33</v>
      </c>
      <c r="AL836" s="5">
        <f>(T836-W836)/T836</f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>(T837-W837)/T837</f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>AJ837</f>
        <v>0</v>
      </c>
      <c r="AJ837" s="2">
        <f>AI837*T837</f>
        <v>0</v>
      </c>
      <c r="AK837" s="2">
        <f>T837-W837</f>
        <v>12.5</v>
      </c>
      <c r="AL837" s="5">
        <f>(T837-W837)/T837</f>
        <v>0.5</v>
      </c>
    </row>
    <row r="838" spans="1:38" x14ac:dyDescent="0.2">
      <c r="A838" s="2">
        <v>2025</v>
      </c>
      <c r="B838" s="2">
        <v>4</v>
      </c>
      <c r="C838" s="2" t="s">
        <v>3412</v>
      </c>
      <c r="D838" s="2" t="s">
        <v>3410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>(T838-W838)/T838</f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>AJ838</f>
        <v>0</v>
      </c>
      <c r="AG838" s="2">
        <f>3203.85+43</f>
        <v>3246.85</v>
      </c>
      <c r="AJ838" s="2">
        <f>AI838*T838</f>
        <v>0</v>
      </c>
      <c r="AK838" s="2">
        <f>T838-W838</f>
        <v>743.15000000000009</v>
      </c>
      <c r="AL838" s="5">
        <f>(T838-W838)/T838</f>
        <v>0.18625313283208023</v>
      </c>
    </row>
    <row r="839" spans="1:38" x14ac:dyDescent="0.2">
      <c r="A839" s="2">
        <v>2025</v>
      </c>
      <c r="B839" s="2">
        <v>4</v>
      </c>
      <c r="C839" s="2" t="s">
        <v>3412</v>
      </c>
      <c r="D839" s="2" t="s">
        <v>3410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>(T839-W839)/T839</f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>AJ839</f>
        <v>0</v>
      </c>
      <c r="AG839" s="2">
        <v>2190</v>
      </c>
      <c r="AJ839" s="2">
        <f>AI839*T839</f>
        <v>0</v>
      </c>
      <c r="AK839" s="2">
        <f>T839-W839</f>
        <v>800</v>
      </c>
      <c r="AL839" s="5">
        <f>(T839-W839)/T839</f>
        <v>0.26755852842809363</v>
      </c>
    </row>
    <row r="840" spans="1:38" x14ac:dyDescent="0.2">
      <c r="A840" s="2">
        <v>2025</v>
      </c>
      <c r="B840" s="2">
        <v>4</v>
      </c>
      <c r="C840" s="2" t="s">
        <v>3412</v>
      </c>
      <c r="D840" s="2" t="s">
        <v>3410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>AJ840</f>
        <v>0</v>
      </c>
      <c r="AJ840" s="2">
        <f>AI840*T840</f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>(T841-W841)/T841</f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>AJ841</f>
        <v>0</v>
      </c>
      <c r="AG841" s="2">
        <v>10.6</v>
      </c>
      <c r="AH841" s="2">
        <v>18</v>
      </c>
      <c r="AJ841" s="2">
        <f>AI841*T841</f>
        <v>0</v>
      </c>
      <c r="AK841" s="2">
        <f>T841-W841</f>
        <v>14.8</v>
      </c>
      <c r="AL841" s="5">
        <f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>(T842-W842)/T842</f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>AJ842</f>
        <v>0</v>
      </c>
      <c r="AG842" s="2">
        <v>9.14</v>
      </c>
      <c r="AH842" s="2">
        <v>16</v>
      </c>
      <c r="AJ842" s="2">
        <f>AI842*T842</f>
        <v>0</v>
      </c>
      <c r="AK842" s="2">
        <f>T842-W842</f>
        <v>7.7200000000000024</v>
      </c>
      <c r="AL842" s="5">
        <f>(T842-W842)/T842</f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>(T843-W843)/T843</f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>AJ843</f>
        <v>0</v>
      </c>
      <c r="AJ843" s="2">
        <f>AI843*T843</f>
        <v>0</v>
      </c>
      <c r="AK843" s="2">
        <f>T843-W843</f>
        <v>20</v>
      </c>
      <c r="AL843" s="5">
        <f>(T843-W843)/T843</f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>(T844-W844)/T844</f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>AJ844</f>
        <v>0</v>
      </c>
      <c r="AG844" s="2">
        <v>3.7357999999999998</v>
      </c>
      <c r="AH844" s="2">
        <v>9</v>
      </c>
      <c r="AJ844" s="2">
        <f>AI844*T844</f>
        <v>0</v>
      </c>
      <c r="AK844" s="2">
        <f>T844-W844</f>
        <v>4.0641999999999996</v>
      </c>
      <c r="AL844" s="5">
        <f>(T844-W844)/T844</f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>(T845-W845)/T845</f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>AJ845</f>
        <v>0</v>
      </c>
      <c r="AG845" s="2">
        <v>10.6</v>
      </c>
      <c r="AH845" s="2">
        <v>18</v>
      </c>
      <c r="AJ845" s="2">
        <f>AI845*T845</f>
        <v>0</v>
      </c>
      <c r="AK845" s="2">
        <f>T845-W845</f>
        <v>7.4</v>
      </c>
      <c r="AL845" s="5">
        <f>(T845-W845)/T845</f>
        <v>0.41111111111111115</v>
      </c>
    </row>
    <row r="846" spans="1:38" x14ac:dyDescent="0.2">
      <c r="A846" s="2">
        <v>2025</v>
      </c>
      <c r="B846" s="2">
        <v>4</v>
      </c>
      <c r="C846" s="2" t="s">
        <v>3412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>(T846-W846)/T846</f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>AJ846</f>
        <v>0</v>
      </c>
      <c r="AJ846" s="2">
        <f>AI846*T846</f>
        <v>0</v>
      </c>
      <c r="AK846" s="2">
        <f>T846-W846</f>
        <v>22.6</v>
      </c>
      <c r="AL846" s="5">
        <f>(T846-W846)/T846</f>
        <v>0.3228571428571429</v>
      </c>
    </row>
    <row r="847" spans="1:38" x14ac:dyDescent="0.2">
      <c r="A847" s="2">
        <v>2025</v>
      </c>
      <c r="B847" s="2">
        <v>4</v>
      </c>
      <c r="C847" s="2" t="s">
        <v>3412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>(T847-W847)/T847</f>
        <v>1</v>
      </c>
      <c r="Z847" s="2" t="s">
        <v>170</v>
      </c>
      <c r="AA847" s="2" t="s">
        <v>170</v>
      </c>
      <c r="AF847" s="2">
        <f>AJ847</f>
        <v>0</v>
      </c>
      <c r="AJ847" s="2">
        <f>AI847*T847</f>
        <v>0</v>
      </c>
      <c r="AK847" s="2">
        <f>T847-W847</f>
        <v>5</v>
      </c>
      <c r="AL847" s="5">
        <f>(T847-W847)/T847</f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>(T848-W848)/T848</f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>AJ848</f>
        <v>0</v>
      </c>
      <c r="AJ848" s="2">
        <f>AI848*T848</f>
        <v>0</v>
      </c>
      <c r="AK848" s="2">
        <f>T848-W848</f>
        <v>30</v>
      </c>
      <c r="AL848" s="5">
        <f>(T848-W848)/T848</f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>(T849-W849)/T849</f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>AJ849</f>
        <v>0</v>
      </c>
      <c r="AJ849" s="2">
        <f>AI849*T849</f>
        <v>0</v>
      </c>
      <c r="AK849" s="2">
        <f>T849-W849</f>
        <v>12.5</v>
      </c>
      <c r="AL849" s="5">
        <f>(T849-W849)/T849</f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>(T850-W850)/T850</f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>AJ850</f>
        <v>0</v>
      </c>
      <c r="AJ850" s="2">
        <f>AI850*T850</f>
        <v>0</v>
      </c>
      <c r="AK850" s="2">
        <f>T850-W850</f>
        <v>30</v>
      </c>
      <c r="AL850" s="5">
        <f>(T850-W850)/T850</f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>(T851-W851)/T851</f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>AJ851</f>
        <v>0</v>
      </c>
      <c r="AJ851" s="2">
        <f>AI851*T851</f>
        <v>0</v>
      </c>
      <c r="AK851" s="2">
        <f>T851-W851</f>
        <v>25</v>
      </c>
      <c r="AL851" s="5">
        <f>(T851-W851)/T851</f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>(T852-W852)/T852</f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>AJ852</f>
        <v>0</v>
      </c>
      <c r="AJ852" s="2">
        <f>AI852*T852</f>
        <v>0</v>
      </c>
      <c r="AK852" s="2">
        <f>T852-W852</f>
        <v>3.0316000000000001</v>
      </c>
      <c r="AL852" s="5">
        <f>(T852-W852)/T852</f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>(T853-W853)/T853</f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>AJ853</f>
        <v>0</v>
      </c>
      <c r="AG853" s="2">
        <v>10.6</v>
      </c>
      <c r="AH853" s="2">
        <v>18</v>
      </c>
      <c r="AJ853" s="2">
        <f>AI853*T853</f>
        <v>0</v>
      </c>
      <c r="AK853" s="2">
        <f>T853-W853</f>
        <v>37</v>
      </c>
      <c r="AL853" s="5">
        <f>(T853-W853)/T853</f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>(T854-W854)/T854</f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>AJ854</f>
        <v>0</v>
      </c>
      <c r="AJ854" s="2">
        <f>AI854*T854</f>
        <v>0</v>
      </c>
      <c r="AK854" s="2">
        <f>T854-W854</f>
        <v>4.84</v>
      </c>
      <c r="AL854" s="5">
        <f>(T854-W854)/T854</f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>(T855-W855)/T855</f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>AJ855</f>
        <v>0</v>
      </c>
      <c r="AG855" s="2">
        <v>117.453</v>
      </c>
      <c r="AH855" s="2">
        <v>220</v>
      </c>
      <c r="AJ855" s="2">
        <f>AI855*T855</f>
        <v>0</v>
      </c>
      <c r="AK855" s="2">
        <f>T855-W855</f>
        <v>97.546999999999997</v>
      </c>
      <c r="AL855" s="5">
        <f>(T855-W855)/T855</f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>(T856-W856)/T856</f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>AJ856</f>
        <v>0</v>
      </c>
      <c r="AG856" s="2">
        <v>101.30500000000001</v>
      </c>
      <c r="AH856" s="2">
        <v>190</v>
      </c>
      <c r="AJ856" s="2">
        <f>AI856*T856</f>
        <v>0</v>
      </c>
      <c r="AK856" s="2">
        <f>T856-W856</f>
        <v>78.89</v>
      </c>
      <c r="AL856" s="5">
        <f>(T856-W856)/T856</f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>(T857-W857)/T857</f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>AJ857</f>
        <v>0</v>
      </c>
      <c r="AG857" s="2">
        <v>1.1399999999999999</v>
      </c>
      <c r="AH857" s="2">
        <v>1.1399999999999999</v>
      </c>
      <c r="AJ857" s="2">
        <f>AI857*T857</f>
        <v>0</v>
      </c>
      <c r="AK857" s="2">
        <f>T857-W857</f>
        <v>0</v>
      </c>
      <c r="AL857" s="5">
        <f>(T857-W857)/T857</f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>(T858-W858)/T858</f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>AJ858</f>
        <v>0</v>
      </c>
      <c r="AG858" s="2">
        <v>6.6266999999999996</v>
      </c>
      <c r="AH858" s="2">
        <v>12</v>
      </c>
      <c r="AJ858" s="2">
        <f>AI858*T858</f>
        <v>0</v>
      </c>
      <c r="AK858" s="2">
        <f>T858-W858</f>
        <v>10.746600000000001</v>
      </c>
      <c r="AL858" s="5">
        <f>(T858-W858)/T858</f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>(T859-W859)/T859</f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>AJ859</f>
        <v>0</v>
      </c>
      <c r="AJ859" s="2">
        <f>AI859*T859</f>
        <v>0</v>
      </c>
      <c r="AK859" s="2">
        <f>T859-W859</f>
        <v>31.462499999999991</v>
      </c>
      <c r="AL859" s="5">
        <f>(T859-W859)/T859</f>
        <v>0.43807435254803667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>(T860-W860)/T860</f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>AJ860</f>
        <v>0</v>
      </c>
      <c r="AJ860" s="2">
        <f>AI860*T860</f>
        <v>0</v>
      </c>
      <c r="AK860" s="2">
        <f>T860-W860</f>
        <v>206.54999999999998</v>
      </c>
      <c r="AL860" s="5">
        <f>(T860-W860)/T860</f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>(T861-W861)/T861</f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>AJ861</f>
        <v>0</v>
      </c>
      <c r="AJ861" s="2">
        <f>AI861*T861</f>
        <v>0</v>
      </c>
      <c r="AK861" s="2">
        <f>T861-W861</f>
        <v>140.625</v>
      </c>
      <c r="AL861" s="5">
        <f>(T861-W861)/T861</f>
        <v>0.5</v>
      </c>
    </row>
    <row r="862" spans="1:38" x14ac:dyDescent="0.2">
      <c r="A862" s="2">
        <v>2025</v>
      </c>
      <c r="B862" s="2">
        <v>4</v>
      </c>
      <c r="C862" s="2" t="s">
        <v>3412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>(T862-W862)/T862</f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>AJ862</f>
        <v>0</v>
      </c>
      <c r="AJ862" s="2">
        <f>AI862*T862</f>
        <v>0</v>
      </c>
      <c r="AK862" s="2">
        <f>T862-W862</f>
        <v>64.460000000000008</v>
      </c>
      <c r="AL862" s="5">
        <f>(T862-W862)/T862</f>
        <v>0.29300000000000004</v>
      </c>
    </row>
    <row r="863" spans="1:38" x14ac:dyDescent="0.2">
      <c r="A863" s="2">
        <v>2025</v>
      </c>
      <c r="B863" s="2">
        <v>4</v>
      </c>
      <c r="C863" s="2" t="s">
        <v>3412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>(T863-W863)/T863</f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>AJ863</f>
        <v>0</v>
      </c>
      <c r="AJ863" s="2">
        <f>AI863*T863</f>
        <v>0</v>
      </c>
      <c r="AK863" s="2">
        <f>T863-W863</f>
        <v>0</v>
      </c>
      <c r="AL863" s="5">
        <f>(T863-W863)/T863</f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>(T864-W864)/T864</f>
        <v>1</v>
      </c>
      <c r="Z864" s="2" t="s">
        <v>120</v>
      </c>
      <c r="AA864" s="2" t="s">
        <v>3384</v>
      </c>
      <c r="AF864" s="2">
        <f>AJ864</f>
        <v>0</v>
      </c>
      <c r="AJ864" s="2">
        <f>AI864*T864</f>
        <v>0</v>
      </c>
      <c r="AK864" s="2">
        <f>T864-W864</f>
        <v>1250</v>
      </c>
      <c r="AL864" s="5">
        <f>(T864-W864)/T864</f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>(T865-W865)/T865</f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>AJ865</f>
        <v>0</v>
      </c>
      <c r="AJ865" s="2">
        <f>AI865*T865</f>
        <v>0</v>
      </c>
      <c r="AK865" s="2">
        <f>T865-W865</f>
        <v>199.09000000000003</v>
      </c>
      <c r="AL865" s="5">
        <f>(T865-W865)/T865</f>
        <v>0.52070092846868055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>(T866-W866)/T866</f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>AJ866</f>
        <v>0</v>
      </c>
      <c r="AG866" s="2">
        <v>10669.4</v>
      </c>
      <c r="AJ866" s="2">
        <f>AI866*T866</f>
        <v>0</v>
      </c>
      <c r="AK866" s="2">
        <f>T866-W866</f>
        <v>4330.6000000000004</v>
      </c>
      <c r="AL866" s="5">
        <f>(T866-W866)/T866</f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>AJ867</f>
        <v>0</v>
      </c>
      <c r="AG867" s="2">
        <v>1239</v>
      </c>
      <c r="AJ867" s="2">
        <f>AI867*T867</f>
        <v>0</v>
      </c>
      <c r="AK867" s="2">
        <f>T867-W867</f>
        <v>1111</v>
      </c>
      <c r="AL867" s="5">
        <f>(T867-W867)/T867</f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>(T868-W868)/T868</f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>AJ868</f>
        <v>0</v>
      </c>
      <c r="AG868" s="2">
        <v>6.6266999999999996</v>
      </c>
      <c r="AH868" s="2">
        <v>12</v>
      </c>
      <c r="AJ868" s="2">
        <f>AI868*T868</f>
        <v>0</v>
      </c>
      <c r="AK868" s="2">
        <f>T868-W868</f>
        <v>5.3733000000000004</v>
      </c>
      <c r="AL868" s="5">
        <f>(T868-W868)/T868</f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>(T869-W869)/T869</f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>AJ869</f>
        <v>0</v>
      </c>
      <c r="AG869" s="2">
        <v>10.6</v>
      </c>
      <c r="AH869" s="2">
        <v>18</v>
      </c>
      <c r="AJ869" s="2">
        <f>AI869*T869</f>
        <v>0</v>
      </c>
      <c r="AK869" s="2">
        <f>T869-W869</f>
        <v>7.4</v>
      </c>
      <c r="AL869" s="5">
        <f>(T869-W869)/T869</f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>(T870-W870)/T870</f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>AJ870</f>
        <v>0</v>
      </c>
      <c r="AG870" s="2">
        <v>8.1999999999999993</v>
      </c>
      <c r="AH870" s="2">
        <v>13</v>
      </c>
      <c r="AJ870" s="2">
        <f>AI870*T870</f>
        <v>0</v>
      </c>
      <c r="AK870" s="2">
        <f>T870-W870</f>
        <v>4.7999999999999989</v>
      </c>
      <c r="AL870" s="5">
        <f>(T870-W870)/T870</f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>(T871-W871)/T871</f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>AJ871</f>
        <v>0</v>
      </c>
      <c r="AG871" s="2">
        <v>117.453</v>
      </c>
      <c r="AH871" s="2">
        <v>220</v>
      </c>
      <c r="AJ871" s="2">
        <f>AI871*T871</f>
        <v>0</v>
      </c>
      <c r="AK871" s="2">
        <f>T871-W871</f>
        <v>92.546999999999997</v>
      </c>
      <c r="AL871" s="5">
        <f>(T871-W871)/T871</f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>(T872-W872)/T872</f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>AJ872</f>
        <v>0</v>
      </c>
      <c r="AJ872" s="2">
        <f>AI872*T872</f>
        <v>0</v>
      </c>
      <c r="AK872" s="2">
        <f>T872-W872</f>
        <v>0</v>
      </c>
      <c r="AL872" s="5">
        <f>(T872-W872)/T872</f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>(T873-W873)/T873</f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>AJ873</f>
        <v>0</v>
      </c>
      <c r="AJ873" s="2">
        <f>AI873*T873</f>
        <v>0</v>
      </c>
      <c r="AK873" s="2">
        <f>T873-W873</f>
        <v>6.5399999999999991</v>
      </c>
      <c r="AL873" s="5">
        <f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>(T874-W874)/T874</f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>AJ874</f>
        <v>0</v>
      </c>
      <c r="AJ874" s="2">
        <f>AI874*T874</f>
        <v>0</v>
      </c>
      <c r="AK874" s="2">
        <f>T874-W874</f>
        <v>6.9399999999999977</v>
      </c>
      <c r="AL874" s="5">
        <f>(T874-W874)/T874</f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>(T875-W875)/T875</f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>AJ875</f>
        <v>0</v>
      </c>
      <c r="AG875" s="2">
        <v>8.1999999999999993</v>
      </c>
      <c r="AH875" s="2">
        <v>13</v>
      </c>
      <c r="AJ875" s="2">
        <f>AI875*T875</f>
        <v>0</v>
      </c>
      <c r="AK875" s="2">
        <f>T875-W875</f>
        <v>46</v>
      </c>
      <c r="AL875" s="5">
        <f>(T875-W875)/T875</f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>(T876-W876)/T876</f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>AJ876</f>
        <v>0</v>
      </c>
      <c r="AJ876" s="2">
        <f>AI876*T876</f>
        <v>0</v>
      </c>
      <c r="AK876" s="2">
        <f>T876-W876</f>
        <v>76.199999999999989</v>
      </c>
      <c r="AL876" s="5">
        <f>(T876-W876)/T876</f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>(T877-W877)/T877</f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>AJ877</f>
        <v>0</v>
      </c>
      <c r="AJ877" s="2">
        <f>AI877*T877</f>
        <v>0</v>
      </c>
      <c r="AK877" s="2">
        <f>T877-W877</f>
        <v>25</v>
      </c>
      <c r="AL877" s="5">
        <f>(T877-W877)/T877</f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>(T878-W878)/T878</f>
        <v>1</v>
      </c>
      <c r="Z878" s="2" t="s">
        <v>120</v>
      </c>
      <c r="AA878" s="2" t="s">
        <v>3384</v>
      </c>
      <c r="AF878" s="2">
        <f>AJ878</f>
        <v>0</v>
      </c>
      <c r="AJ878" s="2">
        <f>AI878*T878</f>
        <v>0</v>
      </c>
      <c r="AK878" s="2">
        <f>T878-W878</f>
        <v>101.5</v>
      </c>
      <c r="AL878" s="5">
        <f>(T878-W878)/T878</f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>(T879-W879)/T879</f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>AJ879</f>
        <v>0</v>
      </c>
      <c r="AG879" s="2">
        <f>144.14+15.4</f>
        <v>159.54</v>
      </c>
      <c r="AH879" s="2">
        <v>280</v>
      </c>
      <c r="AJ879" s="2">
        <f>AI879*T879</f>
        <v>0</v>
      </c>
      <c r="AK879" s="2">
        <f>T879-W879</f>
        <v>100.46000000000001</v>
      </c>
      <c r="AL879" s="5">
        <f>(T879-W879)/T879</f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>(T880-W880)/T880</f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>AJ880</f>
        <v>0</v>
      </c>
      <c r="AJ880" s="2">
        <f>AI880*T880</f>
        <v>0</v>
      </c>
      <c r="AK880" s="2">
        <f>T880-W880</f>
        <v>0</v>
      </c>
      <c r="AL880" s="5">
        <f>(T880-W880)/T880</f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>(T881-W881)/T881</f>
        <v>1</v>
      </c>
      <c r="Z881" s="2" t="s">
        <v>120</v>
      </c>
      <c r="AA881" s="2" t="s">
        <v>493</v>
      </c>
      <c r="AF881" s="2">
        <f>AJ881</f>
        <v>0</v>
      </c>
      <c r="AJ881" s="2">
        <f>AI881*T881</f>
        <v>0</v>
      </c>
      <c r="AK881" s="2">
        <f>T881-W881</f>
        <v>1328.08</v>
      </c>
      <c r="AL881" s="5">
        <f>(T881-W881)/T881</f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>(T882-W882)/T882</f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>AJ882</f>
        <v>0</v>
      </c>
      <c r="AG882" s="2">
        <v>117.453</v>
      </c>
      <c r="AH882" s="2">
        <v>220</v>
      </c>
      <c r="AJ882" s="2">
        <f>AI882*T882</f>
        <v>0</v>
      </c>
      <c r="AK882" s="2">
        <f>T882-W882</f>
        <v>92.546999999999997</v>
      </c>
      <c r="AL882" s="5">
        <f>(T882-W882)/T882</f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>(T883-W883)/T883</f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>AJ883</f>
        <v>0</v>
      </c>
      <c r="AJ883" s="2">
        <f>AI883*T883</f>
        <v>0</v>
      </c>
      <c r="AK883" s="2">
        <f>T883-W883</f>
        <v>0</v>
      </c>
      <c r="AL883" s="5">
        <f>(T883-W883)/T883</f>
        <v>0</v>
      </c>
    </row>
    <row r="884" spans="1:38" x14ac:dyDescent="0.2">
      <c r="A884" s="2">
        <v>2025</v>
      </c>
      <c r="B884" s="2">
        <v>4</v>
      </c>
      <c r="C884" s="2" t="s">
        <v>3412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>(T884-W884)/T884</f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>AJ884</f>
        <v>0</v>
      </c>
      <c r="AJ884" s="2">
        <f>AI884*T884</f>
        <v>0</v>
      </c>
      <c r="AK884" s="2">
        <f>T884-W884</f>
        <v>2039</v>
      </c>
      <c r="AL884" s="5">
        <f>(T884-W884)/T884</f>
        <v>0.27554054054054056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>(T885-W885)/T885</f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>AJ885</f>
        <v>0</v>
      </c>
      <c r="AG885" s="2">
        <v>107.35</v>
      </c>
      <c r="AJ885" s="2">
        <f>AI885*T885</f>
        <v>0</v>
      </c>
      <c r="AK885" s="2">
        <f>T885-W885</f>
        <v>112.65</v>
      </c>
      <c r="AL885" s="5">
        <f>(T885-W885)/T885</f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>(T886-W886)/T886</f>
        <v>0.34285714285714286</v>
      </c>
      <c r="Z886" s="2" t="s">
        <v>170</v>
      </c>
      <c r="AA886" s="2" t="s">
        <v>170</v>
      </c>
      <c r="AF886" s="2">
        <f>AJ886</f>
        <v>0</v>
      </c>
      <c r="AJ886" s="2">
        <f>AI886*T886</f>
        <v>0</v>
      </c>
      <c r="AK886" s="2">
        <f>T886-W886</f>
        <v>12</v>
      </c>
      <c r="AL886" s="5">
        <f>(T886-W886)/T886</f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>(T887-W887)/T887</f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>AJ887</f>
        <v>0</v>
      </c>
      <c r="AJ887" s="2">
        <f>AI887*T887</f>
        <v>0</v>
      </c>
      <c r="AK887" s="2">
        <f>T887-W887</f>
        <v>0</v>
      </c>
      <c r="AL887" s="5">
        <f>(T887-W887)/T887</f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>(T888-W888)/T888</f>
        <v>1</v>
      </c>
      <c r="Z888" s="2" t="s">
        <v>120</v>
      </c>
      <c r="AA888" s="2" t="s">
        <v>3384</v>
      </c>
      <c r="AF888" s="2">
        <f>AJ888</f>
        <v>0</v>
      </c>
      <c r="AJ888" s="2">
        <f>AI888*T888</f>
        <v>0</v>
      </c>
      <c r="AK888" s="2">
        <f>T888-W888</f>
        <v>361.2</v>
      </c>
      <c r="AL888" s="5">
        <f>(T888-W888)/T888</f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>(T889-W889)/T889</f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>AJ889</f>
        <v>0</v>
      </c>
      <c r="AG889" s="2">
        <v>6.6266999999999996</v>
      </c>
      <c r="AH889" s="2">
        <v>12</v>
      </c>
      <c r="AJ889" s="2">
        <f>AI889*T889</f>
        <v>0</v>
      </c>
      <c r="AK889" s="2">
        <f>T889-W889</f>
        <v>10.746600000000001</v>
      </c>
      <c r="AL889" s="5">
        <f>(T889-W889)/T889</f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>(T890-W890)/T890</f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>AJ890</f>
        <v>0</v>
      </c>
      <c r="AG890" s="2">
        <v>3.7357999999999998</v>
      </c>
      <c r="AH890" s="2">
        <v>9</v>
      </c>
      <c r="AJ890" s="2">
        <f>AI890*T890</f>
        <v>0</v>
      </c>
      <c r="AK890" s="2">
        <f>T890-W890</f>
        <v>4.0641999999999996</v>
      </c>
      <c r="AL890" s="5">
        <f>(T890-W890)/T890</f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>(T891-W891)/T891</f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>AJ891</f>
        <v>0</v>
      </c>
      <c r="AG891" s="2">
        <v>10.6</v>
      </c>
      <c r="AH891" s="2">
        <v>18</v>
      </c>
      <c r="AJ891" s="2">
        <f>AI891*T891</f>
        <v>0</v>
      </c>
      <c r="AK891" s="2">
        <f>T891-W891</f>
        <v>14.8</v>
      </c>
      <c r="AL891" s="5">
        <f>(T891-W891)/T891</f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>(T892-W892)/T892</f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>AJ892</f>
        <v>0</v>
      </c>
      <c r="AG892" s="2">
        <v>8.1999999999999993</v>
      </c>
      <c r="AH892" s="2">
        <v>13</v>
      </c>
      <c r="AJ892" s="2">
        <f>AI892*T892</f>
        <v>0</v>
      </c>
      <c r="AK892" s="2">
        <f>T892-W892</f>
        <v>4.7999999999999989</v>
      </c>
      <c r="AL892" s="5">
        <f>(T892-W892)/T892</f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>(T893-W893)/T893</f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>AJ893</f>
        <v>0</v>
      </c>
      <c r="AG893" s="2">
        <v>15.020300000000001</v>
      </c>
      <c r="AH893" s="2">
        <v>27.6</v>
      </c>
      <c r="AJ893" s="2">
        <f>AI893*T893</f>
        <v>0</v>
      </c>
      <c r="AK893" s="2">
        <f>T893-W893</f>
        <v>6.4796999999999993</v>
      </c>
      <c r="AL893" s="5">
        <f>(T893-W893)/T893</f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>(T894-W894)/T894</f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>AJ894</f>
        <v>0</v>
      </c>
      <c r="AJ894" s="2">
        <f>AI894*T894</f>
        <v>0</v>
      </c>
      <c r="AK894" s="2">
        <f>T894-W894</f>
        <v>6.0632000000000001</v>
      </c>
      <c r="AL894" s="5">
        <f>(T894-W894)/T894</f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>(T895-W895)/T895</f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>AJ895</f>
        <v>0</v>
      </c>
      <c r="AG895" s="2">
        <v>291.58999999999997</v>
      </c>
      <c r="AH895" s="2">
        <v>450</v>
      </c>
      <c r="AJ895" s="2">
        <f>AI895*T895</f>
        <v>0</v>
      </c>
      <c r="AK895" s="2">
        <f>T895-W895</f>
        <v>148.41000000000003</v>
      </c>
      <c r="AL895" s="5">
        <f>(T895-W895)/T895</f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>(T896-W896)/T896</f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>AJ896</f>
        <v>0</v>
      </c>
      <c r="AJ896" s="2">
        <f>AI896*T896</f>
        <v>0</v>
      </c>
      <c r="AK896" s="2">
        <f>T896-W896</f>
        <v>0</v>
      </c>
      <c r="AL896" s="5">
        <f>(T896-W896)/T896</f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>(T897-W897)/T897</f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>AJ897</f>
        <v>0</v>
      </c>
      <c r="AG897" s="2">
        <v>104.49</v>
      </c>
      <c r="AH897" s="2">
        <v>220</v>
      </c>
      <c r="AJ897" s="2">
        <f>AI897*T897</f>
        <v>0</v>
      </c>
      <c r="AK897" s="2">
        <f>T897-W897</f>
        <v>105.51</v>
      </c>
      <c r="AL897" s="5">
        <f>(T897-W897)/T897</f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>(T898-W898)/T898</f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>AJ898</f>
        <v>0</v>
      </c>
      <c r="AG898" s="2">
        <v>1.1399999999999999</v>
      </c>
      <c r="AH898" s="2">
        <v>1.1399999999999999</v>
      </c>
      <c r="AJ898" s="2">
        <f>AI898*T898</f>
        <v>0</v>
      </c>
      <c r="AK898" s="2">
        <f>T898-W898</f>
        <v>0</v>
      </c>
      <c r="AL898" s="5">
        <f>(T898-W898)/T898</f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>AJ899</f>
        <v>0</v>
      </c>
      <c r="AJ899" s="2">
        <f>AI899*T899</f>
        <v>0</v>
      </c>
      <c r="AK899" s="2">
        <f>T899-W899</f>
        <v>12.1853</v>
      </c>
      <c r="AL899" s="5">
        <f>(T899-W899)/T899</f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>(T900-W900)/T900</f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>AJ900</f>
        <v>0</v>
      </c>
      <c r="AJ900" s="2">
        <f>AI900*T900</f>
        <v>0</v>
      </c>
      <c r="AK900" s="2">
        <f>T900-W900</f>
        <v>21.43</v>
      </c>
      <c r="AL900" s="5">
        <f>(T900-W900)/T900</f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>(T901-W901)/T901</f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>AJ901</f>
        <v>0</v>
      </c>
      <c r="AG901" s="2">
        <v>101.30500000000001</v>
      </c>
      <c r="AH901" s="2">
        <v>190</v>
      </c>
      <c r="AJ901" s="2">
        <f>AI901*T901</f>
        <v>0</v>
      </c>
      <c r="AK901" s="2">
        <f>T901-W901</f>
        <v>12.58499999999998</v>
      </c>
      <c r="AL901" s="5">
        <f>(T901-W901)/T901</f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>(T902-W902)/T902</f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>AJ902</f>
        <v>0</v>
      </c>
      <c r="AG902" s="2">
        <v>94</v>
      </c>
      <c r="AJ902" s="2">
        <f>AI902*T902</f>
        <v>0</v>
      </c>
      <c r="AK902" s="2">
        <f>T902-W902</f>
        <v>131.60000000000002</v>
      </c>
      <c r="AL902" s="5">
        <f>(T902-W902)/T902</f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>(T903-W903)/T903</f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>AJ903</f>
        <v>0</v>
      </c>
      <c r="AJ903" s="2">
        <f>AI903*T903</f>
        <v>0</v>
      </c>
      <c r="AK903" s="2">
        <f>T903-W903</f>
        <v>82.8</v>
      </c>
      <c r="AL903" s="5">
        <f>(T903-W903)/T903</f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>(T904-W904)/T904</f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>AJ904</f>
        <v>0</v>
      </c>
      <c r="AJ904" s="2">
        <f>AI904*T904</f>
        <v>0</v>
      </c>
      <c r="AK904" s="2">
        <f>T904-W904</f>
        <v>25</v>
      </c>
      <c r="AL904" s="5">
        <f>(T904-W904)/T904</f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>(T905-W905)/T905</f>
        <v>1</v>
      </c>
      <c r="Z905" s="2" t="s">
        <v>170</v>
      </c>
      <c r="AA905" s="2" t="s">
        <v>170</v>
      </c>
      <c r="AF905" s="2">
        <f>AJ905</f>
        <v>0</v>
      </c>
      <c r="AJ905" s="2">
        <f>AI905*T905</f>
        <v>0</v>
      </c>
      <c r="AK905" s="2">
        <f>T905-W905</f>
        <v>105</v>
      </c>
      <c r="AL905" s="5">
        <f>(T905-W905)/T905</f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>(T906-W906)/T906</f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>AJ906</f>
        <v>0</v>
      </c>
      <c r="AJ906" s="2">
        <f>AI906*T906</f>
        <v>0</v>
      </c>
      <c r="AK906" s="2">
        <f>T906-W906</f>
        <v>0</v>
      </c>
      <c r="AL906" s="5">
        <f>(T906-W906)/T906</f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>(T907-W907)/T907</f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>AJ907</f>
        <v>0</v>
      </c>
      <c r="AG907" s="2">
        <v>74.795000000000002</v>
      </c>
      <c r="AJ907" s="2">
        <f>AI907*T907</f>
        <v>0</v>
      </c>
      <c r="AK907" s="2">
        <f>T907-W907</f>
        <v>84.135000000000005</v>
      </c>
      <c r="AL907" s="5">
        <f>(T907-W907)/T907</f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>(T908-W908)/T908</f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>AJ908</f>
        <v>0</v>
      </c>
      <c r="AG908" s="2">
        <v>3.3595999999999999</v>
      </c>
      <c r="AJ908" s="2">
        <f>AI908*T908</f>
        <v>0</v>
      </c>
      <c r="AK908" s="2">
        <f>T908-W908</f>
        <v>3.7504000000000004</v>
      </c>
      <c r="AL908" s="5">
        <f>(T908-W908)/T908</f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>(T909-W909)/T909</f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>AJ909</f>
        <v>0</v>
      </c>
      <c r="AG909" s="2">
        <v>3.3188</v>
      </c>
      <c r="AJ909" s="2">
        <f>AI909*T909</f>
        <v>0</v>
      </c>
      <c r="AK909" s="2">
        <f>T909-W909</f>
        <v>3.7811999999999997</v>
      </c>
      <c r="AL909" s="5">
        <f>(T909-W909)/T909</f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>(T910-W910)/T910</f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>AJ910</f>
        <v>0</v>
      </c>
      <c r="AJ910" s="2">
        <f>AI910*T910</f>
        <v>0</v>
      </c>
      <c r="AK910" s="2">
        <f>T910-W910</f>
        <v>45</v>
      </c>
      <c r="AL910" s="5">
        <f>(T910-W910)/T910</f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>(T911-W911)/T911</f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>AJ911</f>
        <v>0</v>
      </c>
      <c r="AJ911" s="2">
        <f>AI911*T911</f>
        <v>0</v>
      </c>
      <c r="AK911" s="2">
        <f>T911-W911</f>
        <v>49.994999999999997</v>
      </c>
      <c r="AL911" s="5">
        <f>(T911-W911)/T911</f>
        <v>0.5</v>
      </c>
    </row>
    <row r="912" spans="1:38" x14ac:dyDescent="0.2">
      <c r="A912" s="2">
        <v>2025</v>
      </c>
      <c r="B912" s="2">
        <v>4</v>
      </c>
      <c r="C912" s="2" t="s">
        <v>3412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>(T912-W912)/T912</f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>AJ912</f>
        <v>0</v>
      </c>
      <c r="AJ912" s="2">
        <f>AI912*T912</f>
        <v>0</v>
      </c>
      <c r="AK912" s="2">
        <f>T912-W912</f>
        <v>331</v>
      </c>
      <c r="AL912" s="5">
        <f>(T912-W912)/T912</f>
        <v>0.19244186046511627</v>
      </c>
    </row>
    <row r="913" spans="1:38" x14ac:dyDescent="0.2">
      <c r="A913" s="2">
        <v>2025</v>
      </c>
      <c r="B913" s="2">
        <v>4</v>
      </c>
      <c r="C913" s="2" t="s">
        <v>3412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>T913*23%</f>
        <v>0</v>
      </c>
      <c r="V913" s="2">
        <f>T913+U913</f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>AJ913</f>
        <v>0</v>
      </c>
      <c r="AJ913" s="2">
        <f>AI913*T913</f>
        <v>0</v>
      </c>
      <c r="AK913" s="2">
        <f>T913-W913</f>
        <v>0</v>
      </c>
      <c r="AL913" s="5" t="e">
        <f>(T913-W913)/T913</f>
        <v>#DIV/0!</v>
      </c>
    </row>
    <row r="914" spans="1:38" x14ac:dyDescent="0.2">
      <c r="A914" s="2">
        <v>2025</v>
      </c>
      <c r="B914" s="2">
        <v>4</v>
      </c>
      <c r="C914" s="2" t="s">
        <v>3412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>T914*23%</f>
        <v>351.90000000000003</v>
      </c>
      <c r="V914" s="2">
        <f>T914+U914</f>
        <v>1881.9</v>
      </c>
      <c r="W914" s="2">
        <v>1150</v>
      </c>
      <c r="X914" s="5">
        <f>(T914-W914)/T914</f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>AJ914</f>
        <v>0</v>
      </c>
      <c r="AJ914" s="2">
        <f>AI914*T914</f>
        <v>0</v>
      </c>
      <c r="AK914" s="2">
        <f>T914-W914</f>
        <v>380</v>
      </c>
      <c r="AL914" s="5">
        <f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3412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>T915*23%</f>
        <v>0</v>
      </c>
      <c r="V915" s="2">
        <f>T915+U915</f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>AJ915</f>
        <v>0</v>
      </c>
      <c r="AJ915" s="2">
        <f>AI915*T915</f>
        <v>0</v>
      </c>
      <c r="AK915" s="2">
        <f>T915-W915</f>
        <v>0</v>
      </c>
      <c r="AL915" s="5" t="e">
        <f>(T915-W915)/T915</f>
        <v>#DIV/0!</v>
      </c>
    </row>
    <row r="916" spans="1:38" x14ac:dyDescent="0.2">
      <c r="A916" s="2">
        <v>2025</v>
      </c>
      <c r="B916" s="2">
        <v>4</v>
      </c>
      <c r="C916" s="2" t="s">
        <v>3412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>T916*23%</f>
        <v>0</v>
      </c>
      <c r="V916" s="2">
        <f>T916+U916</f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>AJ916</f>
        <v>0</v>
      </c>
      <c r="AJ916" s="2">
        <f>AI916*T916</f>
        <v>0</v>
      </c>
      <c r="AK916" s="2">
        <f>T916-W916</f>
        <v>0</v>
      </c>
      <c r="AL916" s="5" t="e">
        <f>(T916-W916)/T916</f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>T917*23%</f>
        <v>167.18469999999999</v>
      </c>
      <c r="V917" s="2">
        <f>T917+U917</f>
        <v>894.07470000000001</v>
      </c>
      <c r="W917" s="2">
        <v>412.05500000000001</v>
      </c>
      <c r="X917" s="5">
        <f>(T917-W917)/T917</f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>AJ917</f>
        <v>0</v>
      </c>
      <c r="AJ917" s="2">
        <f>AI917*T917</f>
        <v>0</v>
      </c>
      <c r="AK917" s="2">
        <f>T917-W917</f>
        <v>314.83499999999998</v>
      </c>
      <c r="AL917" s="5">
        <f>(T917-W917)/T917</f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>(T918-W918)/T918</f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>AJ918</f>
        <v>0</v>
      </c>
      <c r="AJ918" s="2">
        <f>AI918*T918</f>
        <v>0</v>
      </c>
      <c r="AK918" s="2">
        <f>T918-W918</f>
        <v>298.61</v>
      </c>
      <c r="AL918" s="5">
        <f>(T918-W918)/T918</f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>(T919-W919)/T919</f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>AJ919</f>
        <v>0</v>
      </c>
      <c r="AG919" s="2">
        <v>111.98</v>
      </c>
      <c r="AH919" s="2">
        <v>210</v>
      </c>
      <c r="AJ919" s="2">
        <f>AI919*T919</f>
        <v>0</v>
      </c>
      <c r="AK919" s="2">
        <f>T919-W919</f>
        <v>86.86999999999999</v>
      </c>
      <c r="AL919" s="5">
        <f>(T919-W919)/T919</f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>(T920-W920)/T920</f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>AJ920</f>
        <v>0</v>
      </c>
      <c r="AJ920" s="2">
        <f>AI920*T920</f>
        <v>0</v>
      </c>
      <c r="AK920" s="2">
        <f>T920-W920</f>
        <v>0</v>
      </c>
      <c r="AL920" s="5">
        <f>(T920-W920)/T920</f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>(T921-W921)/T921</f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>AJ921</f>
        <v>0</v>
      </c>
      <c r="AJ921" s="2">
        <f>AI921*T921</f>
        <v>0</v>
      </c>
      <c r="AK921" s="2">
        <f>T921-W921</f>
        <v>344.04</v>
      </c>
      <c r="AL921" s="5">
        <f>(T921-W921)/T921</f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>(T922-W922)/T922</f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>AJ922</f>
        <v>0</v>
      </c>
      <c r="AJ922" s="2">
        <f>AI922*T922</f>
        <v>0</v>
      </c>
      <c r="AK922" s="2">
        <f>T922-W922</f>
        <v>79.8</v>
      </c>
      <c r="AL922" s="5">
        <f>(T922-W922)/T922</f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>AJ923</f>
        <v>0</v>
      </c>
      <c r="AJ923" s="2">
        <f>AI923*T923</f>
        <v>0</v>
      </c>
      <c r="AK923" s="2">
        <f>T923-W923</f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>(T924-W924)/T924</f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>AJ924</f>
        <v>0</v>
      </c>
      <c r="AJ924" s="2">
        <f>AI924*T924</f>
        <v>0</v>
      </c>
      <c r="AK924" s="2">
        <f>T924-W924</f>
        <v>120.4966</v>
      </c>
      <c r="AL924" s="5">
        <f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>(T925-W925)/T925</f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>AJ925</f>
        <v>0</v>
      </c>
      <c r="AG925" s="2">
        <v>6.6266999999999996</v>
      </c>
      <c r="AH925" s="2">
        <v>12</v>
      </c>
      <c r="AJ925" s="2">
        <f>AI925*T925</f>
        <v>0</v>
      </c>
      <c r="AK925" s="2">
        <f>T925-W925</f>
        <v>16.119900000000001</v>
      </c>
      <c r="AL925" s="5">
        <f>(T925-W925)/T925</f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>(T926-W926)/T926</f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>AJ926</f>
        <v>0</v>
      </c>
      <c r="AJ926" s="2">
        <f>AI926*T926</f>
        <v>0</v>
      </c>
      <c r="AK926" s="2">
        <f>T926-W926</f>
        <v>8.19</v>
      </c>
      <c r="AL926" s="5">
        <f>(T926-W926)/T926</f>
        <v>0.44055944055944052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>(T927-W927)/T927</f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>AJ927</f>
        <v>0</v>
      </c>
      <c r="AJ927" s="2">
        <f>AI927*T927</f>
        <v>0</v>
      </c>
      <c r="AK927" s="2">
        <f>T927-W927</f>
        <v>313.63830000000002</v>
      </c>
      <c r="AL927" s="5">
        <f>(T927-W927)/T927</f>
        <v>0.5407556896551724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>(T928-W928)/T928</f>
        <v>1</v>
      </c>
      <c r="Z928" s="2" t="s">
        <v>120</v>
      </c>
      <c r="AA928" s="2" t="s">
        <v>3384</v>
      </c>
      <c r="AF928" s="2">
        <f>AJ928</f>
        <v>0</v>
      </c>
      <c r="AJ928" s="2">
        <f>AI928*T928</f>
        <v>0</v>
      </c>
      <c r="AK928" s="2">
        <f>T928-W928</f>
        <v>600</v>
      </c>
      <c r="AL928" s="5">
        <f>(T928-W928)/T928</f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>(T929-W929)/T929</f>
        <v>0.26921932114882507</v>
      </c>
      <c r="Z929" s="2" t="s">
        <v>105</v>
      </c>
      <c r="AA929" s="2" t="s">
        <v>2750</v>
      </c>
      <c r="AB929" s="2" t="s">
        <v>3401</v>
      </c>
      <c r="AC929" s="2" t="s">
        <v>1196</v>
      </c>
      <c r="AF929" s="2">
        <f>AJ929</f>
        <v>0</v>
      </c>
      <c r="AJ929" s="2">
        <f>AI929*T929</f>
        <v>0</v>
      </c>
      <c r="AK929" s="2">
        <f>T929-W929</f>
        <v>2062.2200000000003</v>
      </c>
      <c r="AL929" s="5">
        <f>(T929-W929)/T929</f>
        <v>0.26921932114882507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>(T930-W930)/T930</f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>AJ930</f>
        <v>0</v>
      </c>
      <c r="AJ930" s="2">
        <f>AI930*T930</f>
        <v>0</v>
      </c>
      <c r="AK930" s="2">
        <f>T930-W930</f>
        <v>94.844999999999999</v>
      </c>
      <c r="AL930" s="5">
        <f>(T930-W930)/T930</f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>(T931-W931)/T931</f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>AJ931</f>
        <v>0</v>
      </c>
      <c r="AJ931" s="2">
        <f>AI931*T931</f>
        <v>0</v>
      </c>
      <c r="AK931" s="2">
        <f>T931-W931</f>
        <v>0</v>
      </c>
      <c r="AL931" s="5">
        <f>(T931-W931)/T931</f>
        <v>0</v>
      </c>
    </row>
    <row r="932" spans="1:38" x14ac:dyDescent="0.2">
      <c r="A932" s="2">
        <v>2025</v>
      </c>
      <c r="B932" s="2">
        <v>4</v>
      </c>
      <c r="C932" s="2" t="s">
        <v>3412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>(T932-W932)/T932</f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>AJ932</f>
        <v>0</v>
      </c>
      <c r="AJ932" s="2">
        <f>AI932*T932</f>
        <v>0</v>
      </c>
      <c r="AK932" s="2">
        <f>T932-W932</f>
        <v>-1415</v>
      </c>
      <c r="AL932" s="5">
        <f>(T932-W932)/T932</f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>(T933-W933)/T933</f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>AJ933</f>
        <v>0</v>
      </c>
      <c r="AG933" s="2">
        <v>104.49</v>
      </c>
      <c r="AH933" s="2">
        <v>220</v>
      </c>
      <c r="AJ933" s="2">
        <f>AI933*T933</f>
        <v>0</v>
      </c>
      <c r="AK933" s="2">
        <f>T933-W933</f>
        <v>105.51</v>
      </c>
      <c r="AL933" s="5">
        <f>(T933-W933)/T933</f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>(T934-W934)/T934</f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>AJ934</f>
        <v>0</v>
      </c>
      <c r="AJ934" s="2">
        <f>AI934*T934</f>
        <v>0</v>
      </c>
      <c r="AK934" s="2">
        <f>T934-W934</f>
        <v>0</v>
      </c>
      <c r="AL934" s="5">
        <f>(T934-W934)/T934</f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>(T935-W935)/T935</f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>AJ935</f>
        <v>0</v>
      </c>
      <c r="AG935" s="2">
        <v>10.6</v>
      </c>
      <c r="AH935" s="2">
        <v>18</v>
      </c>
      <c r="AJ935" s="2">
        <f>AI935*T935</f>
        <v>0</v>
      </c>
      <c r="AK935" s="2">
        <f>T935-W935</f>
        <v>12.8</v>
      </c>
      <c r="AL935" s="5">
        <f>(T935-W935)/T935</f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>(T936-W936)/T936</f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>AJ936</f>
        <v>0</v>
      </c>
      <c r="AG936" s="2">
        <v>0.85609999999999997</v>
      </c>
      <c r="AH936" s="2">
        <v>1.8</v>
      </c>
      <c r="AJ936" s="2">
        <f>AI936*T936</f>
        <v>0</v>
      </c>
      <c r="AK936" s="2">
        <f>T936-W936</f>
        <v>3.7756000000000003</v>
      </c>
      <c r="AL936" s="5">
        <f>(T936-W936)/T936</f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>(T937-W937)/T937</f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>AJ937</f>
        <v>0</v>
      </c>
      <c r="AG937" s="2">
        <v>1.1122000000000001</v>
      </c>
      <c r="AH937" s="2">
        <v>3</v>
      </c>
      <c r="AJ937" s="2">
        <f>AI937*T937</f>
        <v>0</v>
      </c>
      <c r="AK937" s="2">
        <f>T937-W937</f>
        <v>7.5511999999999997</v>
      </c>
      <c r="AL937" s="5">
        <f>(T937-W937)/T937</f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>(T938-W938)/T938</f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>AJ938</f>
        <v>0</v>
      </c>
      <c r="AJ938" s="2">
        <f>AI938*T938</f>
        <v>0</v>
      </c>
      <c r="AK938" s="2">
        <f>T938-W938</f>
        <v>199.97000000000003</v>
      </c>
      <c r="AL938" s="5">
        <f>(T938-W938)/T938</f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>T939</f>
        <v>16.2</v>
      </c>
      <c r="W939" s="2">
        <f>9.075*S939</f>
        <v>9.0749999999999993</v>
      </c>
      <c r="X939" s="5">
        <f>(T939-W939)/T939</f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>AJ939</f>
        <v>0</v>
      </c>
      <c r="AJ939" s="2">
        <f>AI939*T939</f>
        <v>0</v>
      </c>
      <c r="AK939" s="2">
        <f>T939-W939</f>
        <v>7.125</v>
      </c>
      <c r="AL939" s="5">
        <f>(T939-W939)/T939</f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>T940</f>
        <v>19.8</v>
      </c>
      <c r="W940" s="2">
        <v>11.045</v>
      </c>
      <c r="X940" s="5">
        <f>(T940-W940)/T940</f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>AJ940</f>
        <v>0</v>
      </c>
      <c r="AJ940" s="2">
        <f>AI940*T940</f>
        <v>0</v>
      </c>
      <c r="AK940" s="2">
        <f>T940-W940</f>
        <v>8.7550000000000008</v>
      </c>
      <c r="AL940" s="5">
        <f>(T940-W940)/T940</f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>T941</f>
        <v>24</v>
      </c>
      <c r="W941" s="2">
        <f>13.4067*S941</f>
        <v>13.406700000000001</v>
      </c>
      <c r="X941" s="5">
        <f>(T941-W941)/T941</f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>AJ941</f>
        <v>0</v>
      </c>
      <c r="AJ941" s="2">
        <f>AI941*T941</f>
        <v>0</v>
      </c>
      <c r="AK941" s="2">
        <f>T941-W941</f>
        <v>10.593299999999999</v>
      </c>
      <c r="AL941" s="5">
        <f>(T941-W941)/T941</f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>T942</f>
        <v>16.8</v>
      </c>
      <c r="W942" s="2">
        <v>9.2346000000000004</v>
      </c>
      <c r="X942" s="5">
        <f>(T942-W942)/T942</f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>AJ942</f>
        <v>0</v>
      </c>
      <c r="AJ942" s="2">
        <f>AI942*T942</f>
        <v>0</v>
      </c>
      <c r="AK942" s="2">
        <f>T942-W942</f>
        <v>7.5654000000000003</v>
      </c>
      <c r="AL942" s="5">
        <f>(T942-W942)/T942</f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>T943</f>
        <v>19.2</v>
      </c>
      <c r="W943" s="2">
        <v>10.5267</v>
      </c>
      <c r="X943" s="5">
        <f>(T943-W943)/T943</f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>AJ943</f>
        <v>0</v>
      </c>
      <c r="AJ943" s="2">
        <f>AI943*T943</f>
        <v>0</v>
      </c>
      <c r="AK943" s="2">
        <f>T943-W943</f>
        <v>8.6732999999999993</v>
      </c>
      <c r="AL943" s="5">
        <f>(T943-W943)/T943</f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>T944</f>
        <v>22.2</v>
      </c>
      <c r="W944" s="2">
        <v>12.260400000000001</v>
      </c>
      <c r="X944" s="5">
        <f>(T944-W944)/T944</f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>AJ944</f>
        <v>0</v>
      </c>
      <c r="AJ944" s="2">
        <f>AI944*T944</f>
        <v>0</v>
      </c>
      <c r="AK944" s="2">
        <f>T944-W944</f>
        <v>9.9395999999999987</v>
      </c>
      <c r="AL944" s="5">
        <f>(T944-W944)/T944</f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>T945</f>
        <v>65</v>
      </c>
      <c r="W945" s="2">
        <f>25.0958*S945</f>
        <v>25.095800000000001</v>
      </c>
      <c r="X945" s="5">
        <f>(T945-W945)/T945</f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>AJ945</f>
        <v>0</v>
      </c>
      <c r="AJ945" s="2">
        <f>AI945*T945</f>
        <v>0</v>
      </c>
      <c r="AK945" s="2">
        <f>T945-W945</f>
        <v>39.904200000000003</v>
      </c>
      <c r="AL945" s="5">
        <f>(T945-W945)/T945</f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>T946</f>
        <v>9</v>
      </c>
      <c r="W946" s="2">
        <v>5.04</v>
      </c>
      <c r="X946" s="5">
        <f>(T946-W946)/T946</f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>AJ946</f>
        <v>0</v>
      </c>
      <c r="AJ946" s="2">
        <f>AI946*T946</f>
        <v>0</v>
      </c>
      <c r="AK946" s="2">
        <f>T946-W946</f>
        <v>3.96</v>
      </c>
      <c r="AL946" s="5">
        <f>(T946-W946)/T946</f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>(T947-W947)/T947</f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>AJ947</f>
        <v>0</v>
      </c>
      <c r="AG947" s="2">
        <v>14.34</v>
      </c>
      <c r="AJ947" s="2">
        <f>AI947*T947</f>
        <v>0</v>
      </c>
      <c r="AK947" s="2">
        <f>T947-W947</f>
        <v>15.66</v>
      </c>
      <c r="AL947" s="5">
        <f>(T947-W947)/T947</f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>(T948-W948)/T948</f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>AJ948</f>
        <v>0</v>
      </c>
      <c r="AG948" s="2">
        <v>9.3000000000000007</v>
      </c>
      <c r="AH948" s="2">
        <v>21</v>
      </c>
      <c r="AJ948" s="2">
        <f>AI948*T948</f>
        <v>0</v>
      </c>
      <c r="AK948" s="2">
        <f>T948-W948</f>
        <v>8.6999999999999993</v>
      </c>
      <c r="AL948" s="5">
        <f>(T948-W948)/T948</f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>(T949-W949)/T949</f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>AJ949</f>
        <v>0</v>
      </c>
      <c r="AG949" s="2">
        <v>3.7357999999999998</v>
      </c>
      <c r="AH949" s="2">
        <v>9</v>
      </c>
      <c r="AJ949" s="2">
        <f>AI949*T949</f>
        <v>0</v>
      </c>
      <c r="AK949" s="2">
        <f>T949-W949</f>
        <v>4.0641999999999996</v>
      </c>
      <c r="AL949" s="5">
        <f>(T949-W949)/T949</f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>(T950-W950)/T950</f>
        <v>0.44138749999999999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>AJ950</f>
        <v>0</v>
      </c>
      <c r="AJ950" s="2">
        <f>AI950*T950</f>
        <v>0</v>
      </c>
      <c r="AK950" s="2">
        <f>T950-W950</f>
        <v>10.593299999999999</v>
      </c>
      <c r="AL950" s="5">
        <f>(T950-W950)/T950</f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>(T951-W951)/T951</f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>AJ951</f>
        <v>0</v>
      </c>
      <c r="AJ951" s="2">
        <f>AI951*T951</f>
        <v>0</v>
      </c>
      <c r="AK951" s="2">
        <f>T951-W951</f>
        <v>10.689999999999998</v>
      </c>
      <c r="AL951" s="5">
        <f>(T951-W951)/T951</f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>(T952-W952)/T952</f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>AJ952</f>
        <v>0</v>
      </c>
      <c r="AG952" s="2">
        <v>10.6</v>
      </c>
      <c r="AH952" s="2">
        <v>18</v>
      </c>
      <c r="AJ952" s="2">
        <f>AI952*T952</f>
        <v>0</v>
      </c>
      <c r="AK952" s="2">
        <f>T952-W952</f>
        <v>31</v>
      </c>
      <c r="AL952" s="5">
        <f>(T952-W952)/T952</f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>(T953-W953)/T953</f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>AJ953</f>
        <v>0</v>
      </c>
      <c r="AG953" s="2">
        <v>9.14</v>
      </c>
      <c r="AH953" s="2">
        <v>16</v>
      </c>
      <c r="AJ953" s="2">
        <f>AI953*T953</f>
        <v>0</v>
      </c>
      <c r="AK953" s="2">
        <f>T953-W953</f>
        <v>25.740000000000009</v>
      </c>
      <c r="AL953" s="5">
        <f>(T953-W953)/T953</f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>(T954-W954)/T954</f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>AJ954</f>
        <v>0</v>
      </c>
      <c r="AG954" s="2">
        <v>8.1999999999999993</v>
      </c>
      <c r="AH954" s="2">
        <v>13</v>
      </c>
      <c r="AJ954" s="2">
        <f>AI954*T954</f>
        <v>0</v>
      </c>
      <c r="AK954" s="2">
        <f>T954-W954</f>
        <v>37.400000000000006</v>
      </c>
      <c r="AL954" s="5">
        <f>(T954-W954)/T954</f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>(T955-W955)/T955</f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>AJ955</f>
        <v>0</v>
      </c>
      <c r="AG955" s="2">
        <v>15.020300000000001</v>
      </c>
      <c r="AH955" s="2">
        <v>27.6</v>
      </c>
      <c r="AJ955" s="2">
        <f>AI955*T955</f>
        <v>0</v>
      </c>
      <c r="AK955" s="2">
        <f>T955-W955</f>
        <v>10.459399999999999</v>
      </c>
      <c r="AL955" s="5">
        <f>(T955-W955)/T955</f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>(T956-W956)/T956</f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>AJ956</f>
        <v>0</v>
      </c>
      <c r="AJ956" s="2">
        <f>AI956*T956</f>
        <v>0</v>
      </c>
      <c r="AK956" s="2">
        <f>T956-W956</f>
        <v>100.46</v>
      </c>
      <c r="AL956" s="5">
        <f>(T956-W956)/T956</f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>(T957-W957)/T957</f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>AJ957</f>
        <v>0</v>
      </c>
      <c r="AG957" s="2">
        <v>110.68</v>
      </c>
      <c r="AH957" s="2">
        <v>210</v>
      </c>
      <c r="AJ957" s="2">
        <f>AI957*T957</f>
        <v>0</v>
      </c>
      <c r="AK957" s="2">
        <f>T957-W957</f>
        <v>95.5</v>
      </c>
      <c r="AL957" s="5">
        <f>(T957-W957)/T957</f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>(T958-W958)/T958</f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>AJ958</f>
        <v>0</v>
      </c>
      <c r="AG958" s="2">
        <v>6.86</v>
      </c>
      <c r="AH958" s="2">
        <v>13.2</v>
      </c>
      <c r="AJ958" s="2">
        <f>AI958*T958</f>
        <v>0</v>
      </c>
      <c r="AK958" s="2">
        <f>T958-W958</f>
        <v>3.9400000000000004</v>
      </c>
      <c r="AL958" s="5">
        <f>(T958-W958)/T958</f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>(T959-W959)/T959</f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>AJ959</f>
        <v>0</v>
      </c>
      <c r="AG959" s="2">
        <v>1.1399999999999999</v>
      </c>
      <c r="AH959" s="2">
        <v>1.1399999999999999</v>
      </c>
      <c r="AJ959" s="2">
        <f>AI959*T959</f>
        <v>0</v>
      </c>
      <c r="AK959" s="2">
        <f>T959-W959</f>
        <v>0</v>
      </c>
      <c r="AL959" s="5">
        <f>(T959-W959)/T959</f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>(T960-W960)/T960</f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>AJ960</f>
        <v>0</v>
      </c>
      <c r="AG960" s="2">
        <v>10.6</v>
      </c>
      <c r="AH960" s="2">
        <v>18</v>
      </c>
      <c r="AJ960" s="2">
        <f>AI960*T960</f>
        <v>0</v>
      </c>
      <c r="AK960" s="2">
        <f>T960-W960</f>
        <v>14.8</v>
      </c>
      <c r="AL960" s="5">
        <f>(T960-W960)/T960</f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>(T961-W961)/T961</f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>AJ961</f>
        <v>0</v>
      </c>
      <c r="AG961" s="2">
        <v>8.1999999999999993</v>
      </c>
      <c r="AH961" s="2">
        <v>13</v>
      </c>
      <c r="AJ961" s="2">
        <f>AI961*T961</f>
        <v>0</v>
      </c>
      <c r="AK961" s="2">
        <f>T961-W961</f>
        <v>4.7999999999999989</v>
      </c>
      <c r="AL961" s="5">
        <f>(T961-W961)/T961</f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>AJ962</f>
        <v>0</v>
      </c>
      <c r="AJ962" s="2">
        <f>AI962*T962</f>
        <v>0</v>
      </c>
      <c r="AK962" s="2">
        <f>T962-W962</f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>AJ963</f>
        <v>0</v>
      </c>
      <c r="AG963" s="2">
        <v>1703.56</v>
      </c>
      <c r="AJ963" s="2">
        <f>AI963*T963</f>
        <v>0</v>
      </c>
      <c r="AK963" s="2">
        <f>T963-W963</f>
        <v>596.44000000000005</v>
      </c>
      <c r="AL963" s="5">
        <f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>(T964-W964)/T964</f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>AJ964</f>
        <v>0</v>
      </c>
      <c r="AG964" s="2">
        <v>22.2</v>
      </c>
      <c r="AJ964" s="2">
        <f>AI964*T964</f>
        <v>0</v>
      </c>
      <c r="AK964" s="2">
        <f>T964-W964</f>
        <v>22.027999999999999</v>
      </c>
      <c r="AL964" s="5">
        <f>(T964-W964)/T964</f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>(T965-W965)/T965</f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>AJ965</f>
        <v>0</v>
      </c>
      <c r="AG965" s="2">
        <v>33.728900000000003</v>
      </c>
      <c r="AJ965" s="2">
        <f>AI965*T965</f>
        <v>0</v>
      </c>
      <c r="AK965" s="2">
        <f>T965-W965</f>
        <v>31.781100000000002</v>
      </c>
      <c r="AL965" s="5">
        <f>(T965-W965)/T965</f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>(T966-W966)/T966</f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>AJ966</f>
        <v>0</v>
      </c>
      <c r="AJ966" s="2">
        <f>AI966*T966</f>
        <v>0</v>
      </c>
      <c r="AK966" s="2">
        <f>T966-W966</f>
        <v>21.6</v>
      </c>
      <c r="AL966" s="5">
        <f>(T966-W966)/T966</f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>(T967-W967)/T967</f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>AJ967</f>
        <v>0</v>
      </c>
      <c r="AG967" s="2">
        <v>11.99</v>
      </c>
      <c r="AJ967" s="2">
        <f>AI967*T967</f>
        <v>0</v>
      </c>
      <c r="AK967" s="2">
        <f>T967-W967</f>
        <v>10.9</v>
      </c>
      <c r="AL967" s="5">
        <f>(T967-W967)/T967</f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>(T968-W968)/T968</f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>AJ968</f>
        <v>0</v>
      </c>
      <c r="AG968" s="2">
        <v>15.902100000000001</v>
      </c>
      <c r="AJ968" s="2">
        <f>AI968*T968</f>
        <v>0</v>
      </c>
      <c r="AK968" s="2">
        <f>T968-W968</f>
        <v>18.647899999999996</v>
      </c>
      <c r="AL968" s="5">
        <f>(T968-W968)/T968</f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>(T969-W969)/T969</f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>AJ969</f>
        <v>0</v>
      </c>
      <c r="AG969" s="2">
        <v>20.49</v>
      </c>
      <c r="AJ969" s="2">
        <f>AI969*T969</f>
        <v>0</v>
      </c>
      <c r="AK969" s="2">
        <f>T969-W969</f>
        <v>22.31</v>
      </c>
      <c r="AL969" s="5">
        <f>(T969-W969)/T969</f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>(T970-W970)/T970</f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>AJ970</f>
        <v>0</v>
      </c>
      <c r="AJ970" s="2">
        <f>AI970*T970</f>
        <v>0</v>
      </c>
      <c r="AK970" s="2">
        <f>T970-W970</f>
        <v>113.85</v>
      </c>
      <c r="AL970" s="5">
        <f>(T970-W970)/T970</f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>(T971-W971)/T971</f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>AJ971</f>
        <v>0</v>
      </c>
      <c r="AJ971" s="2">
        <f>AI971*T971</f>
        <v>0</v>
      </c>
      <c r="AK971" s="2">
        <f>T971-W971</f>
        <v>0</v>
      </c>
      <c r="AL971" s="5">
        <f>(T971-W971)/T971</f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>(T972-W972)/T972</f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>AJ972</f>
        <v>0</v>
      </c>
      <c r="AG972" s="2">
        <v>24.454000000000001</v>
      </c>
      <c r="AJ972" s="2">
        <f>AI972*T972</f>
        <v>0</v>
      </c>
      <c r="AK972" s="2">
        <f>T972-W972</f>
        <v>50.712000000000003</v>
      </c>
      <c r="AL972" s="5">
        <f>(T972-W972)/T972</f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>(T973-W973)/T973</f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>AJ973</f>
        <v>0</v>
      </c>
      <c r="AG973" s="2">
        <v>3.7555999999999998</v>
      </c>
      <c r="AH973" s="2">
        <v>7.2</v>
      </c>
      <c r="AJ973" s="2">
        <f>AI973*T973</f>
        <v>0</v>
      </c>
      <c r="AK973" s="2">
        <f>T973-W973</f>
        <v>28.444000000000003</v>
      </c>
      <c r="AL973" s="5">
        <f>(T973-W973)/T973</f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>(T974-W974)/T974</f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>AJ974</f>
        <v>0</v>
      </c>
      <c r="AJ974" s="2">
        <f>AI974*T974</f>
        <v>0</v>
      </c>
      <c r="AK974" s="2">
        <f>T974-W974</f>
        <v>177.60000000000002</v>
      </c>
      <c r="AL974" s="5">
        <f>(T974-W974)/T974</f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>(T975-W975)/T975</f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>AJ975</f>
        <v>0</v>
      </c>
      <c r="AG975" s="2">
        <v>0.85609999999999997</v>
      </c>
      <c r="AH975" s="2">
        <v>1.8</v>
      </c>
      <c r="AJ975" s="2">
        <f>AI975*T975</f>
        <v>0</v>
      </c>
      <c r="AK975" s="2">
        <f>T975-W975</f>
        <v>18.878</v>
      </c>
      <c r="AL975" s="5">
        <f>(T975-W975)/T975</f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>(T976-W976)/T976</f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>AJ976</f>
        <v>0</v>
      </c>
      <c r="AG976" s="2">
        <v>15.020300000000001</v>
      </c>
      <c r="AH976" s="2">
        <v>27.6</v>
      </c>
      <c r="AJ976" s="2">
        <f>AI976*T976</f>
        <v>0</v>
      </c>
      <c r="AK976" s="2">
        <f>T976-W976</f>
        <v>17.939099999999996</v>
      </c>
      <c r="AL976" s="5">
        <f>(T976-W976)/T976</f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>(T977-W977)/T977</f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>AJ977</f>
        <v>0</v>
      </c>
      <c r="AG977" s="2">
        <v>117.453</v>
      </c>
      <c r="AH977" s="2">
        <v>220</v>
      </c>
      <c r="AJ977" s="2">
        <f>AI977*T977</f>
        <v>0</v>
      </c>
      <c r="AK977" s="2">
        <f>T977-W977</f>
        <v>92.546999999999997</v>
      </c>
      <c r="AL977" s="5">
        <f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>(T978-W978)/T978</f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>AJ978</f>
        <v>0</v>
      </c>
      <c r="AG978" s="2">
        <v>1.1399999999999999</v>
      </c>
      <c r="AH978" s="2">
        <v>1.1399999999999999</v>
      </c>
      <c r="AJ978" s="2">
        <f>AI978*T978</f>
        <v>0</v>
      </c>
      <c r="AK978" s="2">
        <f>T978-W978</f>
        <v>0</v>
      </c>
      <c r="AL978" s="5">
        <f>(T978-W978)/T978</f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>(T979-W979)/T979</f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>AJ979</f>
        <v>0</v>
      </c>
      <c r="AJ979" s="2">
        <f>AI979*T979</f>
        <v>0</v>
      </c>
      <c r="AK979" s="2">
        <f>T979-W979</f>
        <v>26.700000000000003</v>
      </c>
      <c r="AL979" s="5">
        <f>(T979-W979)/T979</f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>(T980-W980)/T980</f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>AJ980</f>
        <v>0</v>
      </c>
      <c r="AG980" s="2">
        <v>489.3</v>
      </c>
      <c r="AJ980" s="2">
        <f>AI980*T980</f>
        <v>0</v>
      </c>
      <c r="AK980" s="2">
        <f>T980-W980</f>
        <v>209.7</v>
      </c>
      <c r="AL980" s="5">
        <f>(T980-W980)/T980</f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>(T981-W981)/T981</f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>AJ981</f>
        <v>0</v>
      </c>
      <c r="AG981" s="2">
        <v>119.33</v>
      </c>
      <c r="AH981" s="2">
        <v>220</v>
      </c>
      <c r="AJ981" s="2">
        <f>AI981*T981</f>
        <v>0</v>
      </c>
      <c r="AK981" s="2">
        <f>T981-W981</f>
        <v>100.67</v>
      </c>
      <c r="AL981" s="5">
        <f>(T981-W981)/T981</f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>(T982-W982)/T982</f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>AJ982</f>
        <v>0</v>
      </c>
      <c r="AG982" s="2">
        <v>1.1399999999999999</v>
      </c>
      <c r="AH982" s="2">
        <v>1.1399999999999999</v>
      </c>
      <c r="AJ982" s="2">
        <f>AI982*T982</f>
        <v>0</v>
      </c>
      <c r="AK982" s="2">
        <f>T982-W982</f>
        <v>0</v>
      </c>
      <c r="AL982" s="5">
        <f>(T982-W982)/T982</f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>(T983-W983)/T983</f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>AJ983</f>
        <v>0</v>
      </c>
      <c r="AJ983" s="2">
        <f>AI983*T983</f>
        <v>0</v>
      </c>
      <c r="AK983" s="2">
        <f>T983-W983</f>
        <v>40.53</v>
      </c>
      <c r="AL983" s="5">
        <f>(T983-W983)/T983</f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>AJ984</f>
        <v>0</v>
      </c>
      <c r="AJ984" s="2">
        <f>AI984*T984</f>
        <v>0</v>
      </c>
      <c r="AK984" s="2">
        <f>T984-W984</f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>AJ985</f>
        <v>0</v>
      </c>
      <c r="AJ985" s="2">
        <f>AI985*T985</f>
        <v>0</v>
      </c>
      <c r="AK985" s="2">
        <f>T985-W985</f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>AJ986</f>
        <v>0</v>
      </c>
      <c r="AJ986" s="2">
        <f>AI986*T986</f>
        <v>0</v>
      </c>
      <c r="AK986" s="2">
        <f>T986-W986</f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>AJ987</f>
        <v>0</v>
      </c>
      <c r="AJ987" s="2">
        <f>AI987*T987</f>
        <v>0</v>
      </c>
      <c r="AK987" s="2">
        <f>T987-W987</f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>AJ988</f>
        <v>0</v>
      </c>
      <c r="AJ988" s="2">
        <f>AI988*T988</f>
        <v>0</v>
      </c>
      <c r="AK988" s="2">
        <f>T988-W988</f>
        <v>141.87</v>
      </c>
      <c r="AL988" s="5">
        <f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>(T989-W989)/T989</f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>AJ989</f>
        <v>0</v>
      </c>
      <c r="AJ989" s="2">
        <f>AI989*T989</f>
        <v>0</v>
      </c>
      <c r="AK989" s="2">
        <f>T989-W989</f>
        <v>135.25</v>
      </c>
      <c r="AL989" s="5">
        <f>(T989-W989)/T989</f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>(T990-W990)/T990</f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>AJ990</f>
        <v>0</v>
      </c>
      <c r="AJ990" s="2">
        <f>AI990*T990</f>
        <v>0</v>
      </c>
      <c r="AK990" s="2">
        <f>T990-W990</f>
        <v>352.72999999999996</v>
      </c>
      <c r="AL990" s="5">
        <f>(T990-W990)/T990</f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>(T991-W991)/T991</f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>AJ991</f>
        <v>0</v>
      </c>
      <c r="AJ991" s="2">
        <f>AI991*T991</f>
        <v>0</v>
      </c>
      <c r="AK991" s="2">
        <f>T991-W991</f>
        <v>30</v>
      </c>
      <c r="AL991" s="5">
        <f>(T991-W991)/T991</f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>(T992-W992)/T992</f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>AJ992</f>
        <v>0</v>
      </c>
      <c r="AJ992" s="2">
        <f>AI992*T992</f>
        <v>0</v>
      </c>
      <c r="AK992" s="2">
        <f>T992-W992</f>
        <v>25</v>
      </c>
      <c r="AL992" s="5">
        <f>(T992-W992)/T992</f>
        <v>0.5</v>
      </c>
    </row>
    <row r="993" spans="1:38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>(T993-W993)/T993</f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>AJ993</f>
        <v>0</v>
      </c>
      <c r="AJ993" s="2">
        <f>AI993*T993</f>
        <v>0</v>
      </c>
      <c r="AK993" s="2">
        <f>T993-W993</f>
        <v>58</v>
      </c>
      <c r="AL993" s="5">
        <f>(T993-W993)/T993</f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>(T994-W994)/T994</f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>AJ994</f>
        <v>0</v>
      </c>
      <c r="AJ994" s="2">
        <f>AI994*T994</f>
        <v>0</v>
      </c>
      <c r="AK994" s="2">
        <f>T994-W994</f>
        <v>26.5</v>
      </c>
      <c r="AL994" s="5">
        <f>(T994-W994)/T994</f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>(T995-W995)/T995</f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>AJ995</f>
        <v>0</v>
      </c>
      <c r="AG995" s="2">
        <v>3.7357999999999998</v>
      </c>
      <c r="AH995" s="2">
        <v>9</v>
      </c>
      <c r="AJ995" s="2">
        <f>AI995*T995</f>
        <v>0</v>
      </c>
      <c r="AK995" s="2">
        <f>T995-W995</f>
        <v>3.2642000000000002</v>
      </c>
      <c r="AL995" s="5">
        <f>(T995-W995)/T995</f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>(T996-W996)/T996</f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>AJ996</f>
        <v>0</v>
      </c>
      <c r="AG996" s="2">
        <v>8.1999999999999993</v>
      </c>
      <c r="AH996" s="2">
        <v>13</v>
      </c>
      <c r="AJ996" s="2">
        <f>AI996*T996</f>
        <v>0</v>
      </c>
      <c r="AK996" s="2">
        <f>T996-W996</f>
        <v>28</v>
      </c>
      <c r="AL996" s="5">
        <f>(T996-W996)/T996</f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>(T997-W997)/T997</f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>AJ997</f>
        <v>0</v>
      </c>
      <c r="AG997" s="2">
        <v>46.2</v>
      </c>
      <c r="AJ997" s="2">
        <f>AI997*T997</f>
        <v>0</v>
      </c>
      <c r="AK997" s="2">
        <f>T997-W997</f>
        <v>19.799999999999997</v>
      </c>
      <c r="AL997" s="5">
        <f>(T997-W997)/T997</f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>(T998-W998)/T998</f>
        <v>1</v>
      </c>
      <c r="Z998" s="2" t="s">
        <v>170</v>
      </c>
      <c r="AA998" s="2" t="s">
        <v>170</v>
      </c>
      <c r="AF998" s="2">
        <f>AJ998</f>
        <v>0</v>
      </c>
      <c r="AJ998" s="2">
        <f>AI998*T998</f>
        <v>0</v>
      </c>
      <c r="AK998" s="2">
        <f>T998-W998</f>
        <v>5</v>
      </c>
      <c r="AL998" s="5">
        <f>(T998-W998)/T998</f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>(T999-W999)/T999</f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>AJ999</f>
        <v>0</v>
      </c>
      <c r="AJ999" s="2">
        <f>AI999*T999</f>
        <v>0</v>
      </c>
      <c r="AK999" s="2">
        <f>T999-W999</f>
        <v>141.87</v>
      </c>
      <c r="AL999" s="5">
        <f>(T999-W999)/T999</f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>(T1000-W1000)/T1000</f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>AJ1000</f>
        <v>0</v>
      </c>
      <c r="AG1000" s="2">
        <v>110.68</v>
      </c>
      <c r="AH1000" s="2">
        <v>210</v>
      </c>
      <c r="AJ1000" s="2">
        <f>AI1000*T1000</f>
        <v>0</v>
      </c>
      <c r="AK1000" s="2">
        <f>T1000-W1000</f>
        <v>109.32</v>
      </c>
      <c r="AL1000" s="5">
        <f>(T1000-W1000)/T1000</f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>(T1001-W1001)/T1001</f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>AJ1001</f>
        <v>0</v>
      </c>
      <c r="AJ1001" s="2">
        <f>AI1001*T1001</f>
        <v>0</v>
      </c>
      <c r="AK1001" s="2">
        <f>T1001-W1001</f>
        <v>0</v>
      </c>
      <c r="AL1001" s="5">
        <f>(T1001-W1001)/T1001</f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>(T1002-W1002)/T1002</f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>AJ1002</f>
        <v>0</v>
      </c>
      <c r="AJ1002" s="2">
        <f>AI1002*T1002</f>
        <v>0</v>
      </c>
      <c r="AK1002" s="2">
        <f>T1002-W1002</f>
        <v>32.674999999999997</v>
      </c>
      <c r="AL1002" s="5">
        <f>(T1002-W1002)/T1002</f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>(T1003-W1003)/T1003</f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>AJ1003</f>
        <v>0</v>
      </c>
      <c r="AJ1003" s="2">
        <f>AI1003*T1003</f>
        <v>0</v>
      </c>
      <c r="AK1003" s="2">
        <f>T1003-W1003</f>
        <v>34.904200000000003</v>
      </c>
      <c r="AL1003" s="5">
        <f>(T1003-W1003)/T1003</f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>(T1004-W1004)/T1004</f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>AJ1004</f>
        <v>0</v>
      </c>
      <c r="AG1004" s="2">
        <v>5.2972999999999999</v>
      </c>
      <c r="AH1004" s="2">
        <v>10.8</v>
      </c>
      <c r="AJ1004" s="2">
        <f>AI1004*T1004</f>
        <v>0</v>
      </c>
      <c r="AK1004" s="2">
        <f>T1004-W1004</f>
        <v>8.6053999999999995</v>
      </c>
      <c r="AL1004" s="5">
        <f>(T1004-W1004)/T1004</f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>(T1005-W1005)/T1005</f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>AJ1005</f>
        <v>0</v>
      </c>
      <c r="AG1005" s="2">
        <v>15.020300000000001</v>
      </c>
      <c r="AH1005" s="2">
        <v>27.6</v>
      </c>
      <c r="AJ1005" s="2">
        <f>AI1005*T1005</f>
        <v>0</v>
      </c>
      <c r="AK1005" s="2">
        <f>T1005-W1005</f>
        <v>20.359399999999997</v>
      </c>
      <c r="AL1005" s="5">
        <f>(T1005-W1005)/T1005</f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>(T1006-W1006)/T1006</f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>AJ1006</f>
        <v>0</v>
      </c>
      <c r="AJ1006" s="2">
        <f>AI1006*T1006</f>
        <v>0</v>
      </c>
      <c r="AK1006" s="2">
        <f>T1006-W1006</f>
        <v>32.49</v>
      </c>
      <c r="AL1006" s="5">
        <f>(T1006-W1006)/T1006</f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>(T1007-W1007)/T1007</f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>AJ1007</f>
        <v>0</v>
      </c>
      <c r="AG1007" s="2">
        <v>15.020300000000001</v>
      </c>
      <c r="AH1007" s="2">
        <v>27.6</v>
      </c>
      <c r="AJ1007" s="2">
        <f>AI1007*T1007</f>
        <v>0</v>
      </c>
      <c r="AK1007" s="2">
        <f>T1007-W1007</f>
        <v>10.179699999999999</v>
      </c>
      <c r="AL1007" s="5">
        <f>(T1007-W1007)/T1007</f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>(T1008-W1008)/T1008</f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>AJ1008</f>
        <v>0</v>
      </c>
      <c r="AG1008" s="2">
        <v>6.6266999999999996</v>
      </c>
      <c r="AH1008" s="2">
        <v>12</v>
      </c>
      <c r="AJ1008" s="2">
        <f>AI1008*T1008</f>
        <v>0</v>
      </c>
      <c r="AK1008" s="2">
        <f>T1008-W1008</f>
        <v>5.3733000000000004</v>
      </c>
      <c r="AL1008" s="5">
        <f>(T1008-W1008)/T1008</f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>(T1009-W1009)/T1009</f>
        <v>1</v>
      </c>
      <c r="Z1009" s="2" t="s">
        <v>118</v>
      </c>
      <c r="AF1009" s="2">
        <f>AJ1009</f>
        <v>0</v>
      </c>
      <c r="AJ1009" s="2">
        <f>AI1009*T1009</f>
        <v>0</v>
      </c>
      <c r="AK1009" s="2">
        <f>T1009-W1009</f>
        <v>50.35</v>
      </c>
      <c r="AL1009" s="5">
        <f>(T1009-W1009)/T1009</f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>(T1010-W1010)/T1010</f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>AJ1010</f>
        <v>0</v>
      </c>
      <c r="AJ1010" s="2">
        <f>AI1010*T1010</f>
        <v>0</v>
      </c>
      <c r="AK1010" s="2">
        <f>T1010-W1010</f>
        <v>32.4</v>
      </c>
      <c r="AL1010" s="5">
        <f>(T1010-W1010)/T1010</f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>(T1011-W1011)/T1011</f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>AJ1011</f>
        <v>0</v>
      </c>
      <c r="AJ1011" s="2">
        <f>AI1011*T1011</f>
        <v>0</v>
      </c>
      <c r="AK1011" s="2">
        <f>T1011-W1011</f>
        <v>11.25</v>
      </c>
      <c r="AL1011" s="5">
        <f>(T1011-W1011)/T1011</f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>(T1012-W1012)/T1012</f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>AJ1012</f>
        <v>0</v>
      </c>
      <c r="AG1012" s="2">
        <v>117.453</v>
      </c>
      <c r="AH1012" s="2">
        <v>220</v>
      </c>
      <c r="AJ1012" s="2">
        <f>AI1012*T1012</f>
        <v>0</v>
      </c>
      <c r="AK1012" s="2">
        <f>T1012-W1012</f>
        <v>92.546999999999997</v>
      </c>
      <c r="AL1012" s="5">
        <f>(T1012-W1012)/T1012</f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>(T1013-W1013)/T1013</f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>AJ1013</f>
        <v>0</v>
      </c>
      <c r="AJ1013" s="2">
        <f>AI1013*T1013</f>
        <v>0</v>
      </c>
      <c r="AK1013" s="2">
        <f>T1013-W1013</f>
        <v>0</v>
      </c>
      <c r="AL1013" s="5">
        <f>(T1013-W1013)/T1013</f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>(T1014-W1014)/T1014</f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>AJ1014</f>
        <v>0</v>
      </c>
      <c r="AG1014" s="2">
        <f>144.14+15.4</f>
        <v>159.54</v>
      </c>
      <c r="AH1014" s="2">
        <v>280</v>
      </c>
      <c r="AJ1014" s="2">
        <f>AI1014*T1014</f>
        <v>0</v>
      </c>
      <c r="AK1014" s="2">
        <f>T1014-W1014</f>
        <v>100.46000000000001</v>
      </c>
      <c r="AL1014" s="5">
        <f>(T1014-W1014)/T1014</f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>(T1015-W1015)/T1015</f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>AJ1015</f>
        <v>0</v>
      </c>
      <c r="AJ1015" s="2">
        <f>AI1015*T1015</f>
        <v>0</v>
      </c>
      <c r="AK1015" s="2">
        <f>T1015-W1015</f>
        <v>0</v>
      </c>
      <c r="AL1015" s="5">
        <f>(T1015-W1015)/T1015</f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>(T1016-W1016)/T1016</f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>AJ1016</f>
        <v>0</v>
      </c>
      <c r="AJ1016" s="2">
        <f>AI1016*T1016</f>
        <v>0</v>
      </c>
      <c r="AK1016" s="2">
        <f>T1016-W1016</f>
        <v>340</v>
      </c>
      <c r="AL1016" s="5">
        <f>(T1016-W1016)/T1016</f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>(T1017-W1017)/T1017</f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>AJ1017</f>
        <v>0</v>
      </c>
      <c r="AJ1017" s="2">
        <f>AI1017*T1017</f>
        <v>0</v>
      </c>
      <c r="AK1017" s="2">
        <f>T1017-W1017</f>
        <v>10.1</v>
      </c>
      <c r="AL1017" s="5">
        <f>(T1017-W1017)/T1017</f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>(T1018-W1018)/T1018</f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>AJ1018</f>
        <v>0</v>
      </c>
      <c r="AJ1018" s="2">
        <f>AI1018*T1018</f>
        <v>0</v>
      </c>
      <c r="AK1018" s="2">
        <f>T1018-W1018</f>
        <v>27</v>
      </c>
      <c r="AL1018" s="5">
        <f>(T1018-W1018)/T1018</f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>(T1019-W1019)/T1019</f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>AJ1019</f>
        <v>0</v>
      </c>
      <c r="AG1019" s="2">
        <v>15.020300000000001</v>
      </c>
      <c r="AH1019" s="2">
        <v>27.6</v>
      </c>
      <c r="AJ1019" s="2">
        <f>AI1019*T1019</f>
        <v>0</v>
      </c>
      <c r="AK1019" s="2">
        <f>T1019-W1019</f>
        <v>6.4796999999999993</v>
      </c>
      <c r="AL1019" s="5">
        <f>(T1019-W1019)/T1019</f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>AJ1020</f>
        <v>0</v>
      </c>
      <c r="AJ1020" s="2">
        <f>AI1020*T1020</f>
        <v>0</v>
      </c>
      <c r="AK1020" s="2">
        <f>T1020-W1020</f>
        <v>7.125</v>
      </c>
      <c r="AL1020" s="5">
        <f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>(T1021-W1021)/T1021</f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>AJ1021</f>
        <v>0</v>
      </c>
      <c r="AJ1021" s="2">
        <f>AI1021*T1021</f>
        <v>0</v>
      </c>
      <c r="AK1021" s="2">
        <f>T1021-W1021</f>
        <v>19.8</v>
      </c>
      <c r="AL1021" s="5">
        <f>(T1021-W1021)/T1021</f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>(T1022-W1022)/T1022</f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>AJ1022</f>
        <v>0</v>
      </c>
      <c r="AG1022" s="2">
        <v>8.1999999999999993</v>
      </c>
      <c r="AH1022" s="2">
        <v>13</v>
      </c>
      <c r="AJ1022" s="2">
        <f>AI1022*T1022</f>
        <v>0</v>
      </c>
      <c r="AK1022" s="2">
        <f>T1022-W1022</f>
        <v>4.7999999999999989</v>
      </c>
      <c r="AL1022" s="5">
        <f>(T1022-W1022)/T1022</f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>(T1023-W1023)/T1023</f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>AJ1023</f>
        <v>0</v>
      </c>
      <c r="AG1023" s="2">
        <v>104.49</v>
      </c>
      <c r="AH1023" s="2">
        <v>220</v>
      </c>
      <c r="AJ1023" s="2">
        <f>AI1023*T1023</f>
        <v>0</v>
      </c>
      <c r="AK1023" s="2">
        <f>T1023-W1023</f>
        <v>105.51</v>
      </c>
      <c r="AL1023" s="5">
        <f>(T1023-W1023)/T1023</f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>(T1024-W1024)/T1024</f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>AJ1024</f>
        <v>0</v>
      </c>
      <c r="AG1024" s="2">
        <v>1.1399999999999999</v>
      </c>
      <c r="AH1024" s="2">
        <v>1.1399999999999999</v>
      </c>
      <c r="AJ1024" s="2">
        <f>AI1024*T1024</f>
        <v>0</v>
      </c>
      <c r="AK1024" s="2">
        <f>T1024-W1024</f>
        <v>0</v>
      </c>
      <c r="AL1024" s="5">
        <f>(T1024-W1024)/T1024</f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>(T1025-W1025)/T1025</f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>AJ1025</f>
        <v>0</v>
      </c>
      <c r="AG1025" s="2">
        <v>6.6266999999999996</v>
      </c>
      <c r="AH1025" s="2">
        <v>12</v>
      </c>
      <c r="AJ1025" s="2">
        <f>AI1025*T1025</f>
        <v>0</v>
      </c>
      <c r="AK1025" s="2">
        <f>T1025-W1025</f>
        <v>16.119900000000001</v>
      </c>
      <c r="AL1025" s="5">
        <f>(T1025-W1025)/T1025</f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>(T1026-W1026)/T1026</f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>AJ1026</f>
        <v>0</v>
      </c>
      <c r="AG1026" s="2">
        <v>3.7357999999999998</v>
      </c>
      <c r="AH1026" s="2">
        <v>9</v>
      </c>
      <c r="AJ1026" s="2">
        <f>AI1026*T1026</f>
        <v>0</v>
      </c>
      <c r="AK1026" s="2">
        <f>T1026-W1026</f>
        <v>4.0641999999999996</v>
      </c>
      <c r="AL1026" s="5">
        <f>(T1026-W1026)/T1026</f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>(T1027-W1027)/T1027</f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>AJ1027</f>
        <v>0</v>
      </c>
      <c r="AG1027" s="2">
        <v>15.020300000000001</v>
      </c>
      <c r="AH1027" s="2">
        <v>27.6</v>
      </c>
      <c r="AJ1027" s="2">
        <f>AI1027*T1027</f>
        <v>0</v>
      </c>
      <c r="AK1027" s="2">
        <f>T1027-W1027</f>
        <v>5.9796999999999993</v>
      </c>
      <c r="AL1027" s="5">
        <f>(T1027-W1027)/T1027</f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>(T1028-W1028)/T1028</f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>AJ1028</f>
        <v>0</v>
      </c>
      <c r="AJ1028" s="2">
        <f>AI1028*T1028</f>
        <v>0</v>
      </c>
      <c r="AK1028" s="2">
        <f>T1028-W1028</f>
        <v>5320.6</v>
      </c>
      <c r="AL1028" s="5">
        <f>(T1028-W1028)/T1028</f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>(T1029-W1029)/T1029</f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>AJ1029</f>
        <v>0</v>
      </c>
      <c r="AG1029" s="2">
        <f>576.8234+8.18</f>
        <v>585.00339999999994</v>
      </c>
      <c r="AJ1029" s="2">
        <f>AI1029*T1029</f>
        <v>0</v>
      </c>
      <c r="AK1029" s="2">
        <f>T1029-W1029</f>
        <v>637.11659999999983</v>
      </c>
      <c r="AL1029" s="5">
        <f>(T1029-W1029)/T1029</f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>(T1030-W1030)/T1030</f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>AJ1030</f>
        <v>0</v>
      </c>
      <c r="AJ1030" s="2">
        <f>AI1030*T1030</f>
        <v>0</v>
      </c>
      <c r="AK1030" s="2">
        <f>T1030-W1030</f>
        <v>72.599999999999994</v>
      </c>
      <c r="AL1030" s="5">
        <f>(T1030-W1030)/T1030</f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>(T1031-W1031)/T1031</f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>AJ1031</f>
        <v>0</v>
      </c>
      <c r="AJ1031" s="2">
        <f>AI1031*T1031</f>
        <v>0</v>
      </c>
      <c r="AK1031" s="2">
        <f>T1031-W1031</f>
        <v>25</v>
      </c>
      <c r="AL1031" s="5">
        <f>(T1031-W1031)/T1031</f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>(T1032-W1032)/T1032</f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>AJ1032</f>
        <v>0</v>
      </c>
      <c r="AJ1032" s="2">
        <f>AI1032*T1032</f>
        <v>0</v>
      </c>
      <c r="AK1032" s="2">
        <f>T1032-W1032</f>
        <v>128.09</v>
      </c>
      <c r="AL1032" s="5">
        <f>(T1032-W1032)/T1032</f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>(T1033-W1033)/T1033</f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>AJ1033</f>
        <v>0</v>
      </c>
      <c r="AJ1033" s="2">
        <f>AI1033*T1033</f>
        <v>0</v>
      </c>
      <c r="AK1033" s="2">
        <f>T1033-W1033</f>
        <v>81.16</v>
      </c>
      <c r="AL1033" s="5">
        <f>(T1033-W1033)/T1033</f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>(T1034-W1034)/T1034</f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>AJ1034</f>
        <v>0</v>
      </c>
      <c r="AJ1034" s="2">
        <f>AI1034*T1034</f>
        <v>0</v>
      </c>
      <c r="AK1034" s="2">
        <f>T1034-W1034</f>
        <v>399.92</v>
      </c>
      <c r="AL1034" s="5">
        <f>(T1034-W1034)/T1034</f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>(T1035-W1035)/T1035</f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>AJ1035</f>
        <v>0</v>
      </c>
      <c r="AJ1035" s="2">
        <f>AI1035*T1035</f>
        <v>0</v>
      </c>
      <c r="AK1035" s="2">
        <f>T1035-W1035</f>
        <v>53.55</v>
      </c>
      <c r="AL1035" s="5">
        <f>(T1035-W1035)/T1035</f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>(T1036-W1036)/T1036</f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>AJ1036</f>
        <v>0</v>
      </c>
      <c r="AJ1036" s="2">
        <f>AI1036*T1036</f>
        <v>0</v>
      </c>
      <c r="AK1036" s="2">
        <f>T1036-W1036</f>
        <v>45</v>
      </c>
      <c r="AL1036" s="5">
        <f>(T1036-W1036)/T1036</f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>(T1037-W1037)/T1037</f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>AJ1037</f>
        <v>0</v>
      </c>
      <c r="AJ1037" s="2">
        <f>AI1037*T1037</f>
        <v>0</v>
      </c>
      <c r="AK1037" s="2">
        <f>T1037-W1037</f>
        <v>62.6</v>
      </c>
      <c r="AL1037" s="5">
        <f>(T1037-W1037)/T1037</f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>(T1038-W1038)/T1038</f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>AJ1038</f>
        <v>0</v>
      </c>
      <c r="AJ1038" s="2">
        <f>AI1038*T1038</f>
        <v>0</v>
      </c>
      <c r="AK1038" s="2">
        <f>T1038-W1038</f>
        <v>100.74</v>
      </c>
      <c r="AL1038" s="5">
        <f>(T1038-W1038)/T1038</f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>(T1039-W1039)/T1039</f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>AJ1039</f>
        <v>0</v>
      </c>
      <c r="AG1039" s="2">
        <v>1.1399999999999999</v>
      </c>
      <c r="AH1039" s="2">
        <v>1.1399999999999999</v>
      </c>
      <c r="AJ1039" s="2">
        <f>AI1039*T1039</f>
        <v>0</v>
      </c>
      <c r="AK1039" s="2">
        <f>T1039-W1039</f>
        <v>0</v>
      </c>
      <c r="AL1039" s="5">
        <f>(T1039-W1039)/T1039</f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>(T1040-W1040)/T1040</f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>AJ1040</f>
        <v>0</v>
      </c>
      <c r="AJ1040" s="2">
        <f>AI1040*T1040</f>
        <v>0</v>
      </c>
      <c r="AK1040" s="2">
        <f>T1040-W1040</f>
        <v>7.125</v>
      </c>
      <c r="AL1040" s="5">
        <f>(T1040-W1040)/T1040</f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>(T1041-W1041)/T1041</f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>AJ1041</f>
        <v>0</v>
      </c>
      <c r="AJ1041" s="2">
        <f>AI1041*T1041</f>
        <v>0</v>
      </c>
      <c r="AK1041" s="2">
        <f>T1041-W1041</f>
        <v>16.8</v>
      </c>
      <c r="AL1041" s="5">
        <f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>(T1042-W1042)/T1042</f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>AJ1042</f>
        <v>0</v>
      </c>
      <c r="AG1042" s="2">
        <v>8.1999999999999993</v>
      </c>
      <c r="AH1042" s="2">
        <v>13</v>
      </c>
      <c r="AJ1042" s="2">
        <f>AI1042*T1042</f>
        <v>0</v>
      </c>
      <c r="AK1042" s="2">
        <f>T1042-W1042</f>
        <v>23</v>
      </c>
      <c r="AL1042" s="5">
        <f>(T1042-W1042)/T1042</f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M1043" s="2" t="s">
        <v>41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>(T1043-W1043)/T1043</f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>AJ1043</f>
        <v>0</v>
      </c>
      <c r="AJ1043" s="2">
        <f>AI1043*T1043</f>
        <v>0</v>
      </c>
      <c r="AK1043" s="2">
        <f>T1043-W1043</f>
        <v>7.7200000000000024</v>
      </c>
      <c r="AL1043" s="5">
        <f>(T1043-W1043)/T1043</f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>(T1044-W1044)/T1044</f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>AJ1044</f>
        <v>0</v>
      </c>
      <c r="AJ1044" s="2">
        <f>AI1044*T1044</f>
        <v>0</v>
      </c>
      <c r="AK1044" s="2">
        <f>T1044-W1044</f>
        <v>110.74</v>
      </c>
      <c r="AL1044" s="5">
        <f>(T1044-W1044)/T1044</f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>(T1045-W1045)/T1045</f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>AJ1045</f>
        <v>0</v>
      </c>
      <c r="AJ1045" s="2">
        <f>AI1045*T1045</f>
        <v>0</v>
      </c>
      <c r="AK1045" s="2">
        <f>T1045-W1045</f>
        <v>0</v>
      </c>
      <c r="AL1045" s="5">
        <f>(T1045-W1045)/T1045</f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>(T1046-W1046)/T1046</f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>AJ1046</f>
        <v>0</v>
      </c>
      <c r="AG1046" s="2">
        <v>6468.73</v>
      </c>
      <c r="AJ1046" s="2">
        <f>AI1046*T1046</f>
        <v>0</v>
      </c>
      <c r="AK1046" s="2">
        <f>T1046-W1046</f>
        <v>4251.2700000000004</v>
      </c>
      <c r="AL1046" s="5">
        <f>(T1046-W1046)/T1046</f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>(T1047-W1047)/T1047</f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>AJ1047</f>
        <v>0</v>
      </c>
      <c r="AG1047" s="2">
        <v>299.25</v>
      </c>
      <c r="AJ1047" s="2">
        <f>AI1047*T1047</f>
        <v>0</v>
      </c>
      <c r="AK1047" s="2">
        <f>T1047-W1047</f>
        <v>3.75</v>
      </c>
      <c r="AL1047" s="5">
        <f>(T1047-W1047)/T1047</f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>(T1048-W1048)/T1048</f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>AJ1048</f>
        <v>0</v>
      </c>
      <c r="AG1048" s="2">
        <v>1990</v>
      </c>
      <c r="AJ1048" s="2">
        <f>AI1048*T1048</f>
        <v>0</v>
      </c>
      <c r="AK1048" s="2">
        <f>T1048-W1048</f>
        <v>409</v>
      </c>
      <c r="AL1048" s="5">
        <f>(T1048-W1048)/T1048</f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>(T1049-W1049)/T1049</f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>AJ1049</f>
        <v>0</v>
      </c>
      <c r="AG1049" s="2">
        <v>417</v>
      </c>
      <c r="AJ1049" s="2">
        <f>AI1049*T1049</f>
        <v>0</v>
      </c>
      <c r="AK1049" s="2">
        <f>T1049-W1049</f>
        <v>145.75</v>
      </c>
      <c r="AL1049" s="5">
        <f>(T1049-W1049)/T1049</f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>(T1050-W1050)/T1050</f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>AJ1050</f>
        <v>0</v>
      </c>
      <c r="AJ1050" s="2">
        <f>AI1050*T1050</f>
        <v>0</v>
      </c>
      <c r="AK1050" s="2">
        <f>T1050-W1050</f>
        <v>17.505000000000003</v>
      </c>
      <c r="AL1050" s="5">
        <f>(T1050-W1050)/T1050</f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>(T1051-W1051)/T1051</f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>AJ1051</f>
        <v>0</v>
      </c>
      <c r="AG1051" s="2">
        <v>117.453</v>
      </c>
      <c r="AH1051" s="2">
        <v>220</v>
      </c>
      <c r="AJ1051" s="2">
        <f>AI1051*T1051</f>
        <v>0</v>
      </c>
      <c r="AK1051" s="2">
        <f>T1051-W1051</f>
        <v>82.546999999999997</v>
      </c>
      <c r="AL1051" s="5">
        <f>(T1051-W1051)/T1051</f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>AJ1052</f>
        <v>0</v>
      </c>
      <c r="AJ1052" s="2">
        <f>AI1052*T1052</f>
        <v>0</v>
      </c>
      <c r="AK1052" s="2">
        <f>T1052-W1052</f>
        <v>0</v>
      </c>
      <c r="AL1052" s="5">
        <f>(T1052-W1052)/T1052</f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>AJ1053</f>
        <v>0</v>
      </c>
      <c r="AJ1053" s="2">
        <f>AI1053*T1053</f>
        <v>0</v>
      </c>
      <c r="AK1053" s="2">
        <f>T1053-W1053</f>
        <v>664.04</v>
      </c>
      <c r="AL1053" s="5">
        <f>(T1053-W1053)/T1053</f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>AJ1054</f>
        <v>0</v>
      </c>
      <c r="AJ1054" s="2">
        <f>AI1054*T1054</f>
        <v>0</v>
      </c>
      <c r="AK1054" s="2">
        <f>T1054-W1054</f>
        <v>791</v>
      </c>
      <c r="AL1054" s="5">
        <f>(T1054-W1054)/T1054</f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>AJ1055</f>
        <v>0</v>
      </c>
      <c r="AG1055" s="2">
        <v>10.6</v>
      </c>
      <c r="AH1055" s="2">
        <v>18</v>
      </c>
      <c r="AJ1055" s="2">
        <f>AI1055*T1055</f>
        <v>0</v>
      </c>
      <c r="AK1055" s="2">
        <f>T1055-W1055</f>
        <v>22.200000000000003</v>
      </c>
      <c r="AL1055" s="5">
        <f>(T1055-W1055)/T1055</f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>AJ1056</f>
        <v>0</v>
      </c>
      <c r="AG1056" s="2">
        <v>15.020300000000001</v>
      </c>
      <c r="AH1056" s="2">
        <v>27.6</v>
      </c>
      <c r="AJ1056" s="2">
        <f>AI1056*T1056</f>
        <v>0</v>
      </c>
      <c r="AK1056" s="2">
        <f>T1056-W1056</f>
        <v>10.179699999999999</v>
      </c>
      <c r="AL1056" s="5">
        <f>(T1056-W1056)/T1056</f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>AJ1057</f>
        <v>0</v>
      </c>
      <c r="AJ1057" s="2">
        <f>AI1057*T1057</f>
        <v>0</v>
      </c>
      <c r="AK1057" s="2">
        <f>T1057-W1057</f>
        <v>0</v>
      </c>
      <c r="AL1057" s="5" t="e">
        <f>(T1057-W1057)/T1057</f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>AJ1058</f>
        <v>0</v>
      </c>
      <c r="AJ1058" s="2">
        <f>AI1058*T1058</f>
        <v>0</v>
      </c>
      <c r="AK1058" s="2">
        <f>T1058-W1058</f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>(T1059-W1059)/T1059</f>
        <v>1</v>
      </c>
      <c r="Z1059" s="2" t="s">
        <v>120</v>
      </c>
      <c r="AA1059" s="2" t="s">
        <v>3384</v>
      </c>
      <c r="AF1059" s="2">
        <f>AJ1059</f>
        <v>0</v>
      </c>
      <c r="AJ1059" s="2">
        <f>AI1059*T1059</f>
        <v>0</v>
      </c>
      <c r="AK1059" s="2">
        <f>T1059-W1059</f>
        <v>142.51</v>
      </c>
      <c r="AL1059" s="5">
        <f>(T1059-W1059)/T1059</f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>(T1060-W1060)/T1060</f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>AJ1060</f>
        <v>0</v>
      </c>
      <c r="AG1060" s="2">
        <v>117.453</v>
      </c>
      <c r="AH1060" s="2">
        <v>220</v>
      </c>
      <c r="AJ1060" s="2">
        <f>AI1060*T1060</f>
        <v>0</v>
      </c>
      <c r="AK1060" s="2">
        <f>T1060-W1060</f>
        <v>185.09399999999999</v>
      </c>
      <c r="AL1060" s="5">
        <f>(T1060-W1060)/T1060</f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>(T1061-W1061)/T1061</f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>AJ1061</f>
        <v>0</v>
      </c>
      <c r="AJ1061" s="2">
        <f>AI1061*T1061</f>
        <v>0</v>
      </c>
      <c r="AK1061" s="2">
        <f>T1061-W1061</f>
        <v>0</v>
      </c>
      <c r="AL1061" s="5">
        <f>(T1061-W1061)/T1061</f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>(T1062-W1062)/T1062</f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>AJ1062</f>
        <v>0</v>
      </c>
      <c r="AG1062" s="2">
        <v>3.3595999999999999</v>
      </c>
      <c r="AJ1062" s="2">
        <f>AI1062*T1062</f>
        <v>0</v>
      </c>
      <c r="AK1062" s="2">
        <f>T1062-W1062</f>
        <v>7.490800000000001</v>
      </c>
      <c r="AL1062" s="5">
        <f>(T1062-W1062)/T1062</f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>(T1063-W1063)/T1063</f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>AJ1063</f>
        <v>0</v>
      </c>
      <c r="AJ1063" s="2">
        <f>AI1063*T1063</f>
        <v>0</v>
      </c>
      <c r="AK1063" s="2">
        <f>T1063-W1063</f>
        <v>28.14</v>
      </c>
      <c r="AL1063" s="5">
        <f>(T1063-W1063)/T1063</f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>(T1064-W1064)/T1064</f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>AJ1064</f>
        <v>0</v>
      </c>
      <c r="AJ1064" s="2">
        <f>AI1064*T1064</f>
        <v>0</v>
      </c>
      <c r="AK1064" s="2">
        <f>T1064-W1064</f>
        <v>62.6</v>
      </c>
      <c r="AL1064" s="5">
        <f>(T1064-W1064)/T1064</f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>(T1065-W1065)/T1065</f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>AJ1065</f>
        <v>0</v>
      </c>
      <c r="AJ1065" s="2">
        <f>AI1065*T1065</f>
        <v>0</v>
      </c>
      <c r="AK1065" s="2">
        <f>T1065-W1065</f>
        <v>65.209999999999994</v>
      </c>
      <c r="AL1065" s="5">
        <f>(T1065-W1065)/T1065</f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>(T1066-W1066)/T1066</f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>AJ1066</f>
        <v>0</v>
      </c>
      <c r="AJ1066" s="2">
        <f>AI1066*T1066</f>
        <v>0</v>
      </c>
      <c r="AK1066" s="2">
        <f>T1066-W1066</f>
        <v>41.56</v>
      </c>
      <c r="AL1066" s="5">
        <f>(T1066-W1066)/T1066</f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>(T1067-W1067)/T1067</f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>AJ1067</f>
        <v>0</v>
      </c>
      <c r="AJ1067" s="2">
        <f>AI1067*T1067</f>
        <v>0</v>
      </c>
      <c r="AK1067" s="2">
        <f>T1067-W1067</f>
        <v>172.63</v>
      </c>
      <c r="AL1067" s="5">
        <f>(T1067-W1067)/T1067</f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>(T1068-W1068)/T1068</f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>AJ1068</f>
        <v>0</v>
      </c>
      <c r="AJ1068" s="2">
        <f>AI1068*T1068</f>
        <v>0</v>
      </c>
      <c r="AK1068" s="2">
        <f>T1068-W1068</f>
        <v>76.930000000000007</v>
      </c>
      <c r="AL1068" s="5">
        <f>(T1068-W1068)/T1068</f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>(T1069-W1069)/T1069</f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>AJ1069</f>
        <v>0</v>
      </c>
      <c r="AJ1069" s="2">
        <f>AI1069*T1069</f>
        <v>0</v>
      </c>
      <c r="AK1069" s="2">
        <f>T1069-W1069</f>
        <v>36</v>
      </c>
      <c r="AL1069" s="5">
        <f>(T1069-W1069)/T1069</f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>(T1070-W1070)/T1070</f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>AJ1070</f>
        <v>0</v>
      </c>
      <c r="AJ1070" s="2">
        <f>AI1070*T1070</f>
        <v>0</v>
      </c>
      <c r="AK1070" s="2">
        <f>T1070-W1070</f>
        <v>50</v>
      </c>
      <c r="AL1070" s="5">
        <f>(T1070-W1070)/T1070</f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>(T1071-W1071)/T1071</f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>AJ1071</f>
        <v>0</v>
      </c>
      <c r="AG1071" s="2">
        <v>110.68</v>
      </c>
      <c r="AH1071" s="2">
        <v>210</v>
      </c>
      <c r="AJ1071" s="2">
        <f>AI1071*T1071</f>
        <v>0</v>
      </c>
      <c r="AK1071" s="2">
        <f>T1071-W1071</f>
        <v>99.32</v>
      </c>
      <c r="AL1071" s="5">
        <f>(T1071-W1071)/T1071</f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>(T1072-W1072)/T1072</f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>AJ1072</f>
        <v>0</v>
      </c>
      <c r="AJ1072" s="2">
        <f>AI1072*T1072</f>
        <v>0</v>
      </c>
      <c r="AK1072" s="2">
        <f>T1072-W1072</f>
        <v>0</v>
      </c>
      <c r="AL1072" s="5">
        <f>(T1072-W1072)/T1072</f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>(T1073-W1073)/T1073</f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>AJ1073</f>
        <v>0</v>
      </c>
      <c r="AJ1073" s="2">
        <f>AI1073*T1073</f>
        <v>0</v>
      </c>
      <c r="AK1073" s="2">
        <f>T1073-W1073</f>
        <v>32.674999999999997</v>
      </c>
      <c r="AL1073" s="5">
        <f>(T1073-W1073)/T1073</f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>(T1074-W1074)/T1074</f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>AJ1074</f>
        <v>0</v>
      </c>
      <c r="AJ1074" s="2">
        <f>AI1074*T1074</f>
        <v>0</v>
      </c>
      <c r="AK1074" s="2">
        <f>T1074-W1074</f>
        <v>34.904200000000003</v>
      </c>
      <c r="AL1074" s="5">
        <f>(T1074-W1074)/T1074</f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>(T1075-W1075)/T1075</f>
        <v>1</v>
      </c>
      <c r="Z1075" s="2" t="s">
        <v>118</v>
      </c>
      <c r="AF1075" s="2">
        <f>AJ1075</f>
        <v>0</v>
      </c>
      <c r="AJ1075" s="2">
        <f>AI1075*T1075</f>
        <v>0</v>
      </c>
      <c r="AK1075" s="2">
        <f>T1075-W1075</f>
        <v>215.94</v>
      </c>
      <c r="AL1075" s="5">
        <f>(T1075-W1075)/T1075</f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>(T1076-W1076)/T1076</f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>AJ1076</f>
        <v>0</v>
      </c>
      <c r="AJ1076" s="2">
        <f>AI1076*T1076</f>
        <v>0</v>
      </c>
      <c r="AK1076" s="2">
        <f>T1076-W1076</f>
        <v>108</v>
      </c>
      <c r="AL1076" s="5">
        <f>(T1076-W1076)/T1076</f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>(T1077-W1077)/T1077</f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>AJ1077</f>
        <v>0</v>
      </c>
      <c r="AG1077" s="2">
        <f>110.125+11.77</f>
        <v>121.895</v>
      </c>
      <c r="AJ1077" s="2">
        <f>AI1077*T1077</f>
        <v>0</v>
      </c>
      <c r="AK1077" s="2">
        <f>T1077-W1077</f>
        <v>88.105000000000004</v>
      </c>
      <c r="AL1077" s="5">
        <f>(T1077-W1077)/T1077</f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>(T1078-W1078)/T1078</f>
        <v>0.23333333333333334</v>
      </c>
      <c r="Z1078" s="2" t="s">
        <v>170</v>
      </c>
      <c r="AA1078" s="2" t="s">
        <v>170</v>
      </c>
      <c r="AF1078" s="2">
        <f>AJ1078</f>
        <v>0</v>
      </c>
      <c r="AJ1078" s="2">
        <f>AI1078*T1078</f>
        <v>0</v>
      </c>
      <c r="AK1078" s="2">
        <f>T1078-W1078</f>
        <v>7</v>
      </c>
      <c r="AL1078" s="5">
        <f>(T1078-W1078)/T1078</f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>AJ1079</f>
        <v>0</v>
      </c>
      <c r="AJ1079" s="2">
        <f>AI1079*T1079</f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>(T1080-W1080)/T1080</f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>AJ1080</f>
        <v>0</v>
      </c>
      <c r="AJ1080" s="2">
        <f>AI1080*T1080</f>
        <v>0</v>
      </c>
      <c r="AK1080" s="2">
        <f>T1080-W1080</f>
        <v>0</v>
      </c>
      <c r="AL1080" s="5">
        <f>(T1080-W1080)/T1080</f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>(T1081-W1081)/T1081</f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>AJ1081</f>
        <v>0</v>
      </c>
      <c r="AG1081" s="2">
        <v>122.446</v>
      </c>
      <c r="AH1081" s="2">
        <v>230</v>
      </c>
      <c r="AJ1081" s="2">
        <f>AI1081*T1081</f>
        <v>0</v>
      </c>
      <c r="AK1081" s="2">
        <f>T1081-W1081</f>
        <v>97.554000000000002</v>
      </c>
      <c r="AL1081" s="5">
        <f>(T1081-W1081)/T1081</f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>(T1082-W1082)/T1082</f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>AJ1082</f>
        <v>0</v>
      </c>
      <c r="AG1082" s="2">
        <v>1.1399999999999999</v>
      </c>
      <c r="AH1082" s="2">
        <v>1.1399999999999999</v>
      </c>
      <c r="AJ1082" s="2">
        <f>AI1082*T1082</f>
        <v>0</v>
      </c>
      <c r="AK1082" s="2">
        <f>T1082-W1082</f>
        <v>0</v>
      </c>
      <c r="AL1082" s="5">
        <f>(T1082-W1082)/T1082</f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>(T1083-W1083)/T1083</f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>AJ1083</f>
        <v>0</v>
      </c>
      <c r="AJ1083" s="2">
        <f>AI1083*T1083</f>
        <v>0</v>
      </c>
      <c r="AK1083" s="2">
        <f>T1083-W1083</f>
        <v>74.844999999999999</v>
      </c>
      <c r="AL1083" s="5">
        <f>(T1083-W1083)/T1083</f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>(T1084-W1084)/T1084</f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>AJ1084</f>
        <v>0</v>
      </c>
      <c r="AJ1084" s="2">
        <f>AI1084*T1084</f>
        <v>0</v>
      </c>
      <c r="AK1084" s="2">
        <f>T1084-W1084</f>
        <v>0</v>
      </c>
      <c r="AL1084" s="5">
        <f>(T1084-W1084)/T1084</f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>(T1085-W1085)/T1085</f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>AJ1085</f>
        <v>0</v>
      </c>
      <c r="AG1085" s="2">
        <v>117.453</v>
      </c>
      <c r="AH1085" s="2">
        <v>220</v>
      </c>
      <c r="AJ1085" s="2">
        <f>AI1085*T1085</f>
        <v>0</v>
      </c>
      <c r="AK1085" s="2">
        <f>T1085-W1085</f>
        <v>92.546999999999997</v>
      </c>
      <c r="AL1085" s="5">
        <f>(T1085-W1085)/T1085</f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>(T1086-W1086)/T1086</f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>AJ1086</f>
        <v>0</v>
      </c>
      <c r="AJ1086" s="2">
        <f>AI1086*T1086</f>
        <v>0</v>
      </c>
      <c r="AK1086" s="2">
        <f>T1086-W1086</f>
        <v>0</v>
      </c>
      <c r="AL1086" s="5">
        <f>(T1086-W1086)/T1086</f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>(T1087-W1087)/T1087</f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>AJ1087</f>
        <v>0</v>
      </c>
      <c r="AG1087" s="2">
        <v>8.1999999999999993</v>
      </c>
      <c r="AH1087" s="2">
        <v>13</v>
      </c>
      <c r="AJ1087" s="2">
        <f>AI1087*T1087</f>
        <v>0</v>
      </c>
      <c r="AK1087" s="2">
        <f>T1087-W1087</f>
        <v>23</v>
      </c>
      <c r="AL1087" s="5">
        <f>(T1087-W1087)/T1087</f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>(T1088-W1088)/T1088</f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>AJ1088</f>
        <v>0</v>
      </c>
      <c r="AJ1088" s="2">
        <f>AI1088*T1088</f>
        <v>0</v>
      </c>
      <c r="AK1088" s="2">
        <f>T1088-W1088</f>
        <v>27</v>
      </c>
      <c r="AL1088" s="5">
        <f>(T1088-W1088)/T1088</f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>(T1089-W1089)/T1089</f>
        <v>1</v>
      </c>
      <c r="Z1089" s="2" t="s">
        <v>118</v>
      </c>
      <c r="AF1089" s="2">
        <f>AJ1089</f>
        <v>0</v>
      </c>
      <c r="AJ1089" s="2">
        <f>AI1089*T1089</f>
        <v>0</v>
      </c>
      <c r="AK1089" s="2">
        <f>T1089-W1089</f>
        <v>12.12</v>
      </c>
      <c r="AL1089" s="5">
        <f>(T1089-W1089)/T1089</f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>(T1090-W1090)/T1090</f>
        <v>1</v>
      </c>
      <c r="Z1090" s="2" t="s">
        <v>118</v>
      </c>
      <c r="AF1090" s="2">
        <f>AJ1090</f>
        <v>0</v>
      </c>
      <c r="AJ1090" s="2">
        <f>AI1090*T1090</f>
        <v>0</v>
      </c>
      <c r="AK1090" s="2">
        <f>T1090-W1090</f>
        <v>2515.37</v>
      </c>
      <c r="AL1090" s="5">
        <f>(T1090-W1090)/T1090</f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>(T1091-W1091)/T1091</f>
        <v>1</v>
      </c>
      <c r="Z1091" s="2" t="s">
        <v>118</v>
      </c>
      <c r="AF1091" s="2">
        <f>AJ1091</f>
        <v>0</v>
      </c>
      <c r="AJ1091" s="2">
        <f>AI1091*T1091</f>
        <v>0</v>
      </c>
      <c r="AK1091" s="2">
        <f>T1091-W1091</f>
        <v>200.25</v>
      </c>
      <c r="AL1091" s="5">
        <f>(T1091-W1091)/T1091</f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>(T1092-W1092)/T1092</f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>AJ1092</f>
        <v>0</v>
      </c>
      <c r="AJ1092" s="2">
        <f>AI1092*T1092</f>
        <v>0</v>
      </c>
      <c r="AK1092" s="2">
        <f>T1092-W1092</f>
        <v>43.8</v>
      </c>
      <c r="AL1092" s="5">
        <f>(T1092-W1092)/T1092</f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>(T1093-W1093)/T1093</f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>AJ1093</f>
        <v>0</v>
      </c>
      <c r="AJ1093" s="2">
        <f>AI1093*T1093</f>
        <v>0</v>
      </c>
      <c r="AK1093" s="2">
        <f>T1093-W1093</f>
        <v>50</v>
      </c>
      <c r="AL1093" s="5">
        <f>(T1093-W1093)/T1093</f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>AJ1094</f>
        <v>0</v>
      </c>
      <c r="AJ1094" s="2">
        <f>AI1094*T1094</f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118</v>
      </c>
      <c r="AF1095" s="2">
        <f>AJ1095</f>
        <v>0</v>
      </c>
      <c r="AJ1095" s="2">
        <f>AI1095*T1095</f>
        <v>0</v>
      </c>
      <c r="AK1095" s="2">
        <f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>AJ1096</f>
        <v>0</v>
      </c>
      <c r="AG1096" s="2">
        <v>6.6266999999999996</v>
      </c>
      <c r="AH1096" s="2">
        <v>12</v>
      </c>
      <c r="AJ1096" s="2">
        <f>AI1096*T1096</f>
        <v>0</v>
      </c>
      <c r="AK1096" s="2">
        <f>T1096-W1096</f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>AJ1097</f>
        <v>0</v>
      </c>
      <c r="AG1097" s="2">
        <v>10.6</v>
      </c>
      <c r="AH1097" s="2">
        <v>18</v>
      </c>
      <c r="AJ1097" s="2">
        <f>AI1097*T1097</f>
        <v>0</v>
      </c>
      <c r="AK1097" s="2">
        <f>T1097-W1097</f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>AJ1098</f>
        <v>0</v>
      </c>
      <c r="AJ1098" s="2">
        <f>AI1098*T1098</f>
        <v>0</v>
      </c>
      <c r="AK1098" s="2">
        <f>T1098-W1098</f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>AJ1099</f>
        <v>0</v>
      </c>
      <c r="AJ1099" s="2">
        <f>AI1099*T1099</f>
        <v>0</v>
      </c>
      <c r="AK1099" s="2">
        <f>T1099-W1099</f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>AJ1100</f>
        <v>0</v>
      </c>
      <c r="AG1100" s="2">
        <v>1.4114</v>
      </c>
      <c r="AH1100" s="2">
        <v>3</v>
      </c>
      <c r="AJ1100" s="2">
        <f>AI1100*T1100</f>
        <v>0</v>
      </c>
      <c r="AK1100" s="2">
        <f>T1100-W1100</f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1103</v>
      </c>
      <c r="J1101" s="2" t="s">
        <v>1104</v>
      </c>
      <c r="L1101" s="2" t="s">
        <v>178</v>
      </c>
      <c r="M1101" s="2" t="s">
        <v>41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>AJ1101</f>
        <v>0</v>
      </c>
      <c r="AG1101" s="2">
        <v>3.7357999999999998</v>
      </c>
      <c r="AH1101" s="2">
        <v>9</v>
      </c>
      <c r="AJ1101" s="2">
        <f>AI1101*T1101</f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1103</v>
      </c>
      <c r="J1102" s="2" t="s">
        <v>1104</v>
      </c>
      <c r="L1102" s="2" t="s">
        <v>178</v>
      </c>
      <c r="M1102" s="2" t="s">
        <v>41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>AJ1102</f>
        <v>0</v>
      </c>
      <c r="AG1102" s="2">
        <v>8.1999999999999993</v>
      </c>
      <c r="AH1102" s="2">
        <v>13</v>
      </c>
      <c r="AJ1102" s="2">
        <f>AI1102*T1102</f>
        <v>0</v>
      </c>
      <c r="AK1102" s="2">
        <f>T1102-W1102</f>
        <v>23</v>
      </c>
      <c r="AL1102" s="5">
        <f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1103</v>
      </c>
      <c r="J1103" s="2" t="s">
        <v>1104</v>
      </c>
      <c r="L1103" s="2" t="s">
        <v>178</v>
      </c>
      <c r="M1103" s="2" t="s">
        <v>41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>(T1103-W1103)/T1103</f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>AJ1103</f>
        <v>0</v>
      </c>
      <c r="AJ1103" s="2">
        <f>AI1103*T1103</f>
        <v>0</v>
      </c>
      <c r="AK1103" s="2">
        <f>T1103-W1103</f>
        <v>16.8</v>
      </c>
      <c r="AL1103" s="5">
        <f>(T1103-W1103)/T1103</f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>(T1104-W1104)/T1104</f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>AJ1104</f>
        <v>0</v>
      </c>
      <c r="AJ1104" s="2">
        <f>AI1104*T1104</f>
        <v>0</v>
      </c>
      <c r="AK1104" s="2">
        <f>T1104-W1104</f>
        <v>22.027999999999999</v>
      </c>
      <c r="AL1104" s="5">
        <f>(T1104-W1104)/T1104</f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>(T1105-W1105)/T1105</f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>AJ1105</f>
        <v>0</v>
      </c>
      <c r="AG1105" s="2">
        <v>6.6266999999999996</v>
      </c>
      <c r="AH1105" s="2">
        <v>12</v>
      </c>
      <c r="AJ1105" s="2">
        <f>AI1105*T1105</f>
        <v>0</v>
      </c>
      <c r="AK1105" s="2">
        <f>T1105-W1105</f>
        <v>10.746600000000001</v>
      </c>
      <c r="AL1105" s="5">
        <f>(T1105-W1105)/T1105</f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>(T1106-W1106)/T1106</f>
        <v>1</v>
      </c>
      <c r="Z1106" s="2" t="s">
        <v>118</v>
      </c>
      <c r="AF1106" s="2">
        <f>AJ1106</f>
        <v>0</v>
      </c>
      <c r="AJ1106" s="2">
        <f>AI1106*T1106</f>
        <v>0</v>
      </c>
      <c r="AK1106" s="2">
        <f>T1106-W1106</f>
        <v>42.6</v>
      </c>
      <c r="AL1106" s="5">
        <f>(T1106-W1106)/T1106</f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>(T1107-W1107)/T1107</f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>AJ1107</f>
        <v>0</v>
      </c>
      <c r="AJ1107" s="2">
        <f>AI1107*T1107</f>
        <v>0</v>
      </c>
      <c r="AK1107" s="2">
        <f>T1107-W1107</f>
        <v>30</v>
      </c>
      <c r="AL1107" s="5">
        <f>(T1107-W1107)/T1107</f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>(T1108-W1108)/T1108</f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>AJ1108</f>
        <v>0</v>
      </c>
      <c r="AJ1108" s="2">
        <f>AI1108*T1108</f>
        <v>0</v>
      </c>
      <c r="AK1108" s="2">
        <f>T1108-W1108</f>
        <v>18.75</v>
      </c>
      <c r="AL1108" s="5">
        <f>(T1108-W1108)/T1108</f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>(T1109-W1109)/T1109</f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>AJ1109</f>
        <v>0</v>
      </c>
      <c r="AG1109" s="2">
        <v>117.453</v>
      </c>
      <c r="AH1109" s="2">
        <v>220</v>
      </c>
      <c r="AJ1109" s="2">
        <f>AI1109*T1109</f>
        <v>0</v>
      </c>
      <c r="AK1109" s="2">
        <f>T1109-W1109</f>
        <v>86.246999999999986</v>
      </c>
      <c r="AL1109" s="5">
        <f>(T1109-W1109)/T1109</f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>(T1110-W1110)/T1110</f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>AJ1110</f>
        <v>0</v>
      </c>
      <c r="AG1110" s="2">
        <v>111.98</v>
      </c>
      <c r="AH1110" s="2">
        <v>210</v>
      </c>
      <c r="AJ1110" s="2">
        <f>AI1110*T1110</f>
        <v>0</v>
      </c>
      <c r="AK1110" s="2">
        <f>T1110-W1110</f>
        <v>91.719999999999985</v>
      </c>
      <c r="AL1110" s="5">
        <f>(T1110-W1110)/T1110</f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>(T1111-W1111)/T1111</f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>AJ1111</f>
        <v>0</v>
      </c>
      <c r="AJ1111" s="2">
        <f>AI1111*T1111</f>
        <v>0</v>
      </c>
      <c r="AK1111" s="2">
        <f>T1111-W1111</f>
        <v>0</v>
      </c>
      <c r="AL1111" s="5">
        <f>(T1111-W1111)/T1111</f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>(T1112-W1112)/T1112</f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>AJ1112</f>
        <v>0</v>
      </c>
      <c r="AJ1112" s="2">
        <f>AI1112*T1112</f>
        <v>0</v>
      </c>
      <c r="AK1112" s="2">
        <f>T1112-W1112</f>
        <v>27.650000000000006</v>
      </c>
      <c r="AL1112" s="5">
        <f>(T1112-W1112)/T1112</f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M1113" s="2" t="s">
        <v>41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>(T1113-W1113)/T1113</f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>AJ1113</f>
        <v>0</v>
      </c>
      <c r="AJ1113" s="2">
        <f>AI1113*T1113</f>
        <v>0</v>
      </c>
      <c r="AK1113" s="2">
        <f>T1113-W1113</f>
        <v>23.200000000000003</v>
      </c>
      <c r="AL1113" s="5">
        <f>(T1113-W1113)/T1113</f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M1114" s="2" t="s">
        <v>41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>(T1114-W1114)/T1114</f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>AJ1114</f>
        <v>0</v>
      </c>
      <c r="AG1114" s="2">
        <v>8.1999999999999993</v>
      </c>
      <c r="AH1114" s="2">
        <v>13</v>
      </c>
      <c r="AJ1114" s="2">
        <f>AI1114*T1114</f>
        <v>0</v>
      </c>
      <c r="AK1114" s="2">
        <f>T1114-W1114</f>
        <v>11.399999999999999</v>
      </c>
      <c r="AL1114" s="5">
        <f>(T1114-W1114)/T1114</f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M1115" s="2" t="s">
        <v>41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>(T1115-W1115)/T1115</f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>AJ1115</f>
        <v>0</v>
      </c>
      <c r="AG1115" s="2">
        <v>6.86</v>
      </c>
      <c r="AJ1115" s="2">
        <f>AI1115*T1115</f>
        <v>0</v>
      </c>
      <c r="AK1115" s="2">
        <f>T1115-W1115</f>
        <v>3.339999999999999</v>
      </c>
      <c r="AL1115" s="5">
        <f>(T1115-W1115)/T1115</f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>(T1116-W1116)/T1116</f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>AJ1116</f>
        <v>0</v>
      </c>
      <c r="AJ1116" s="2">
        <f>AI1116*T1116</f>
        <v>0</v>
      </c>
      <c r="AK1116" s="2">
        <f>T1116-W1116</f>
        <v>120.4966</v>
      </c>
      <c r="AL1116" s="5">
        <f>(T1116-W1116)/T1116</f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>(T1117-W1117)/T1117</f>
        <v>1</v>
      </c>
      <c r="Z1117" s="2" t="s">
        <v>118</v>
      </c>
      <c r="AF1117" s="2">
        <f>AJ1117</f>
        <v>0</v>
      </c>
      <c r="AJ1117" s="2">
        <f>AI1117*T1117</f>
        <v>0</v>
      </c>
      <c r="AK1117" s="2">
        <f>T1117-W1117</f>
        <v>83.79</v>
      </c>
      <c r="AL1117" s="5">
        <f>(T1117-W1117)/T1117</f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>(T1118-W1118)/T1118</f>
        <v>1</v>
      </c>
      <c r="Z1118" s="2" t="s">
        <v>120</v>
      </c>
      <c r="AA1118" s="2" t="s">
        <v>3384</v>
      </c>
      <c r="AF1118" s="2">
        <f>AJ1118</f>
        <v>0</v>
      </c>
      <c r="AJ1118" s="2">
        <f>AI1118*T1118</f>
        <v>0</v>
      </c>
      <c r="AK1118" s="2">
        <f>T1118-W1118</f>
        <v>205</v>
      </c>
      <c r="AL1118" s="5">
        <f>(T1118-W1118)/T1118</f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>(T1119-W1119)/T1119</f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>AJ1119</f>
        <v>0</v>
      </c>
      <c r="AJ1119" s="2">
        <f>AI1119*T1119</f>
        <v>0</v>
      </c>
      <c r="AK1119" s="2">
        <f>T1119-W1119</f>
        <v>27.650000000000006</v>
      </c>
      <c r="AL1119" s="5">
        <f>(T1119-W1119)/T1119</f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>(T1120-W1120)/T1120</f>
        <v>1</v>
      </c>
      <c r="Z1120" s="2" t="s">
        <v>118</v>
      </c>
      <c r="AF1120" s="2">
        <f>AJ1120</f>
        <v>0</v>
      </c>
      <c r="AJ1120" s="2">
        <f>AI1120*T1120</f>
        <v>0</v>
      </c>
      <c r="AK1120" s="2">
        <f>T1120-W1120</f>
        <v>255.02</v>
      </c>
      <c r="AL1120" s="5">
        <f>(T1120-W1120)/T1120</f>
        <v>1</v>
      </c>
    </row>
    <row r="1121" spans="1:38" x14ac:dyDescent="0.2">
      <c r="A1121" s="2">
        <v>2025</v>
      </c>
      <c r="B1121" s="2">
        <v>4</v>
      </c>
      <c r="C1121" s="2" t="s">
        <v>3412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>(T1121-W1121)/T1121</f>
        <v>1</v>
      </c>
      <c r="Z1121" s="2" t="s">
        <v>105</v>
      </c>
      <c r="AA1121" s="2" t="s">
        <v>579</v>
      </c>
      <c r="AF1121" s="2">
        <f>AJ1121</f>
        <v>0</v>
      </c>
      <c r="AJ1121" s="2">
        <f>AI1121*T1121</f>
        <v>0</v>
      </c>
      <c r="AK1121" s="2">
        <f>T1121-W1121</f>
        <v>1235</v>
      </c>
      <c r="AL1121" s="5">
        <f>(T1121-W1121)/T1121</f>
        <v>1</v>
      </c>
    </row>
    <row r="1122" spans="1:38" x14ac:dyDescent="0.2">
      <c r="A1122" s="2">
        <v>2025</v>
      </c>
      <c r="B1122" s="2">
        <v>4</v>
      </c>
      <c r="C1122" s="2" t="s">
        <v>3412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>(T1122-W1122)/T1122</f>
        <v>1</v>
      </c>
      <c r="Z1122" s="2" t="s">
        <v>105</v>
      </c>
      <c r="AA1122" s="2" t="s">
        <v>579</v>
      </c>
      <c r="AF1122" s="2">
        <f>AJ1122</f>
        <v>0</v>
      </c>
      <c r="AJ1122" s="2">
        <f>AI1122*T1122</f>
        <v>0</v>
      </c>
      <c r="AK1122" s="2">
        <f>T1122-W1122</f>
        <v>1805</v>
      </c>
      <c r="AL1122" s="5">
        <f>(T1122-W1122)/T1122</f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>(T1123-W1123)/T1123</f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>AJ1123</f>
        <v>0</v>
      </c>
      <c r="AJ1123" s="2">
        <f>AI1123*T1123</f>
        <v>0</v>
      </c>
      <c r="AK1123" s="2">
        <f>T1123-W1123</f>
        <v>127.45250000000001</v>
      </c>
      <c r="AL1123" s="5">
        <f>(T1123-W1123)/T1123</f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>(T1124-W1124)/T1124</f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>AJ1124</f>
        <v>0</v>
      </c>
      <c r="AG1124" s="2">
        <v>152.85</v>
      </c>
      <c r="AH1124" s="2">
        <v>260</v>
      </c>
      <c r="AJ1124" s="2">
        <f>AI1124*T1124</f>
        <v>0</v>
      </c>
      <c r="AK1124" s="2">
        <f>T1124-W1124</f>
        <v>107.15</v>
      </c>
      <c r="AL1124" s="5">
        <f>(T1124-W1124)/T1124</f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>(T1125-W1125)/T1125</f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>AJ1125</f>
        <v>0</v>
      </c>
      <c r="AG1125" s="2">
        <v>1.1399999999999999</v>
      </c>
      <c r="AH1125" s="2">
        <v>1.1399999999999999</v>
      </c>
      <c r="AJ1125" s="2">
        <f>AI1125*T1125</f>
        <v>0</v>
      </c>
      <c r="AK1125" s="2">
        <f>T1125-W1125</f>
        <v>0</v>
      </c>
      <c r="AL1125" s="5">
        <f>(T1125-W1125)/T1125</f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>(T1126-W1126)/T1126</f>
        <v>1</v>
      </c>
      <c r="AF1126" s="2">
        <f>AJ1126</f>
        <v>0</v>
      </c>
      <c r="AJ1126" s="2">
        <f>AI1126*T1126</f>
        <v>0</v>
      </c>
      <c r="AK1126" s="2">
        <f>T1126-W1126</f>
        <v>35.74</v>
      </c>
      <c r="AL1126" s="5">
        <f>(T1126-W1126)/T1126</f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>(T1127-W1127)/T1127</f>
        <v>1</v>
      </c>
      <c r="Z1127" s="2" t="s">
        <v>120</v>
      </c>
      <c r="AA1127" s="2" t="s">
        <v>3384</v>
      </c>
      <c r="AF1127" s="2">
        <f>AJ1127</f>
        <v>0</v>
      </c>
      <c r="AJ1127" s="2">
        <f>AI1127*T1127</f>
        <v>0</v>
      </c>
      <c r="AK1127" s="2">
        <f>T1127-W1127</f>
        <v>99.75</v>
      </c>
      <c r="AL1127" s="5">
        <f>(T1127-W1127)/T1127</f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>(T1128-W1128)/T1128</f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>AJ1128</f>
        <v>0</v>
      </c>
      <c r="AJ1128" s="2">
        <f>AI1128*T1128</f>
        <v>0</v>
      </c>
      <c r="AK1128" s="2">
        <f>T1128-W1128</f>
        <v>512.94000000000005</v>
      </c>
      <c r="AL1128" s="5">
        <f>(T1128-W1128)/T1128</f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>(T1129-W1129)/T1129</f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>AJ1129</f>
        <v>0</v>
      </c>
      <c r="AJ1129" s="2">
        <f>AI1129*T1129</f>
        <v>0</v>
      </c>
      <c r="AK1129" s="2">
        <f>T1129-W1129</f>
        <v>30</v>
      </c>
      <c r="AL1129" s="5">
        <f>(T1129-W1129)/T1129</f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>(T1130-W1130)/T1130</f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>AJ1130</f>
        <v>0</v>
      </c>
      <c r="AJ1130" s="2">
        <f>AI1130*T1130</f>
        <v>0</v>
      </c>
      <c r="AK1130" s="2">
        <f>T1130-W1130</f>
        <v>50</v>
      </c>
      <c r="AL1130" s="5">
        <f>(T1130-W1130)/T1130</f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>AJ1131</f>
        <v>0</v>
      </c>
      <c r="AJ1131" s="2">
        <f>AI1131*T1131</f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>AJ1132</f>
        <v>0</v>
      </c>
      <c r="AG1132" s="2">
        <v>10.6</v>
      </c>
      <c r="AH1132" s="2">
        <v>18</v>
      </c>
      <c r="AJ1132" s="2">
        <f>AI1132*T1132</f>
        <v>0</v>
      </c>
      <c r="AK1132" s="2">
        <f>T1132-W1132</f>
        <v>10.8</v>
      </c>
      <c r="AL1132" s="5">
        <f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>(T1133-W1133)/T1133</f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>AJ1133</f>
        <v>0</v>
      </c>
      <c r="AG1133" s="2">
        <v>9.1399999999999995E-2</v>
      </c>
      <c r="AJ1133" s="2">
        <f>AI1133*T1133</f>
        <v>0</v>
      </c>
      <c r="AK1133" s="2">
        <f>T1133-W1133</f>
        <v>4.8600000000000012</v>
      </c>
      <c r="AL1133" s="5">
        <f>(T1133-W1133)/T1133</f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>(T1134-W1134)/T1134</f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>AJ1134</f>
        <v>0</v>
      </c>
      <c r="AG1134" s="2">
        <v>3345.125</v>
      </c>
      <c r="AJ1134" s="2">
        <f>AI1134*T1134</f>
        <v>0</v>
      </c>
      <c r="AK1134" s="2">
        <f>T1134-W1134</f>
        <v>1154.875</v>
      </c>
      <c r="AL1134" s="5">
        <f>(T1134-W1134)/T1134</f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>(T1135-W1135)/T1135</f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>AJ1135</f>
        <v>0</v>
      </c>
      <c r="AG1135" s="2">
        <v>6.6266999999999996</v>
      </c>
      <c r="AH1135" s="2">
        <v>12</v>
      </c>
      <c r="AJ1135" s="2">
        <f>AI1135*T1135</f>
        <v>0</v>
      </c>
      <c r="AK1135" s="2">
        <f>T1135-W1135</f>
        <v>26.866500000000002</v>
      </c>
      <c r="AL1135" s="5">
        <f>(T1135-W1135)/T1135</f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>(T1136-W1136)/T1136</f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>AJ1136</f>
        <v>0</v>
      </c>
      <c r="AJ1136" s="2">
        <f>AI1136*T1136</f>
        <v>0</v>
      </c>
      <c r="AK1136" s="2">
        <f>T1136-W1136</f>
        <v>2.7650000000000006</v>
      </c>
      <c r="AL1136" s="5">
        <f>(T1136-W1136)/T1136</f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>(T1137-W1137)/T1137</f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>AJ1137</f>
        <v>0</v>
      </c>
      <c r="AJ1137" s="2">
        <f>AI1137*T1137</f>
        <v>0</v>
      </c>
      <c r="AK1137" s="2">
        <f>T1137-W1137</f>
        <v>8.0600000000000023</v>
      </c>
      <c r="AL1137" s="5">
        <f>(T1137-W1137)/T1137</f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>(T1138-W1138)/T1138</f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>AJ1138</f>
        <v>0</v>
      </c>
      <c r="AJ1138" s="2">
        <f>AI1138*T1138</f>
        <v>0</v>
      </c>
      <c r="AK1138" s="2">
        <f>T1138-W1138</f>
        <v>25.560000000000002</v>
      </c>
      <c r="AL1138" s="5">
        <f>(T1138-W1138)/T1138</f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>(T1139-W1139)/T1139</f>
        <v>1</v>
      </c>
      <c r="AF1139" s="2">
        <f>AJ1139</f>
        <v>0</v>
      </c>
      <c r="AJ1139" s="2">
        <f>AI1139*T1139</f>
        <v>0</v>
      </c>
      <c r="AK1139" s="2">
        <f>T1139-W1139</f>
        <v>371</v>
      </c>
      <c r="AL1139" s="5">
        <f>(T1139-W1139)/T1139</f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>(T1140-W1140)/T1140</f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>AJ1140</f>
        <v>0</v>
      </c>
      <c r="AG1140" s="2">
        <v>6.6266999999999996</v>
      </c>
      <c r="AH1140" s="2">
        <v>12</v>
      </c>
      <c r="AJ1140" s="2">
        <f>AI1140*T1140</f>
        <v>0</v>
      </c>
      <c r="AK1140" s="2">
        <f>T1140-W1140</f>
        <v>25.866500000000002</v>
      </c>
      <c r="AL1140" s="5">
        <f>(T1140-W1140)/T1140</f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>(T1141-W1141)/T1141</f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>AJ1141</f>
        <v>0</v>
      </c>
      <c r="AG1141" s="2">
        <v>3.7357999999999998</v>
      </c>
      <c r="AH1141" s="2">
        <v>9</v>
      </c>
      <c r="AJ1141" s="2">
        <f>AI1141*T1141</f>
        <v>0</v>
      </c>
      <c r="AK1141" s="2">
        <f>T1141-W1141</f>
        <v>4.0641999999999996</v>
      </c>
      <c r="AL1141" s="5">
        <f>(T1141-W1141)/T1141</f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>(T1142-W1142)/T1142</f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>AJ1142</f>
        <v>0</v>
      </c>
      <c r="AG1142" s="2">
        <v>10.6</v>
      </c>
      <c r="AH1142" s="2">
        <v>18</v>
      </c>
      <c r="AJ1142" s="2">
        <f>AI1142*T1142</f>
        <v>0</v>
      </c>
      <c r="AK1142" s="2">
        <f>T1142-W1142</f>
        <v>16.200000000000003</v>
      </c>
      <c r="AL1142" s="5">
        <f>(T1142-W1142)/T1142</f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>(T1143-W1143)/T1143</f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>AJ1143</f>
        <v>0</v>
      </c>
      <c r="AG1143" s="2">
        <v>9.14</v>
      </c>
      <c r="AH1143" s="2">
        <v>16</v>
      </c>
      <c r="AJ1143" s="2">
        <f>AI1143*T1143</f>
        <v>0</v>
      </c>
      <c r="AK1143" s="2">
        <f>T1143-W1143</f>
        <v>4.8600000000000012</v>
      </c>
      <c r="AL1143" s="5">
        <f>(T1143-W1143)/T1143</f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>(T1144-W1144)/T1144</f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>AJ1144</f>
        <v>0</v>
      </c>
      <c r="AG1144" s="2">
        <v>8.1999999999999993</v>
      </c>
      <c r="AH1144" s="2">
        <v>13</v>
      </c>
      <c r="AJ1144" s="2">
        <f>AI1144*T1144</f>
        <v>0</v>
      </c>
      <c r="AK1144" s="2">
        <f>T1144-W1144</f>
        <v>4.7999999999999989</v>
      </c>
      <c r="AL1144" s="5">
        <f>(T1144-W1144)/T1144</f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>(T1145-W1145)/T1145</f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>AJ1145</f>
        <v>0</v>
      </c>
      <c r="AG1145" s="2">
        <v>15.020300000000001</v>
      </c>
      <c r="AH1145" s="2">
        <v>27.6</v>
      </c>
      <c r="AJ1145" s="2">
        <f>AI1145*T1145</f>
        <v>0</v>
      </c>
      <c r="AK1145" s="2">
        <f>T1145-W1145</f>
        <v>12.959399999999999</v>
      </c>
      <c r="AL1145" s="5">
        <f>(T1145-W1145)/T1145</f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>(T1146-W1146)/T1146</f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>AJ1146</f>
        <v>0</v>
      </c>
      <c r="AJ1146" s="2">
        <f>AI1146*T1146</f>
        <v>0</v>
      </c>
      <c r="AK1146" s="2">
        <f>T1146-W1146</f>
        <v>66.083300000000008</v>
      </c>
      <c r="AL1146" s="5">
        <f>(T1146-W1146)/T1146</f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>(T1147-W1147)/T1147</f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>AJ1147</f>
        <v>0</v>
      </c>
      <c r="AG1147" s="2">
        <v>122.446</v>
      </c>
      <c r="AH1147" s="2">
        <v>230</v>
      </c>
      <c r="AJ1147" s="2">
        <f>AI1147*T1147</f>
        <v>0</v>
      </c>
      <c r="AK1147" s="2">
        <f>T1147-W1147</f>
        <v>169.09400000000002</v>
      </c>
      <c r="AL1147" s="5">
        <f>(T1147-W1147)/T1147</f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>(T1148-W1148)/T1148</f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>AJ1148</f>
        <v>0</v>
      </c>
      <c r="AJ1148" s="2">
        <f>AI1148*T1148</f>
        <v>0</v>
      </c>
      <c r="AK1148" s="2">
        <f>T1148-W1148</f>
        <v>12</v>
      </c>
      <c r="AL1148" s="5">
        <f>(T1148-W1148)/T1148</f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>(T1149-W1149)/T1149</f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>AJ1149</f>
        <v>0</v>
      </c>
      <c r="AJ1149" s="2">
        <f>AI1149*T1149</f>
        <v>0</v>
      </c>
      <c r="AK1149" s="2">
        <f>T1149-W1149</f>
        <v>11.56</v>
      </c>
      <c r="AL1149" s="5">
        <f>(T1149-W1149)/T1149</f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>(T1150-W1150)/T1150</f>
        <v>0.49897999999999998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>AJ1150</f>
        <v>0</v>
      </c>
      <c r="AJ1150" s="2">
        <f>AI1150*T1150</f>
        <v>0</v>
      </c>
      <c r="AK1150" s="2">
        <f>T1150-W1150</f>
        <v>2.4948999999999999</v>
      </c>
      <c r="AL1150" s="5">
        <f>(T1150-W1150)/T1150</f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>(T1151-W1151)/T1151</f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>AJ1151</f>
        <v>0</v>
      </c>
      <c r="AJ1151" s="2">
        <f>AI1151*T1151</f>
        <v>0</v>
      </c>
      <c r="AK1151" s="2">
        <f>T1151-W1151</f>
        <v>0</v>
      </c>
      <c r="AL1151" s="5">
        <f>(T1151-W1151)/T1151</f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>(T1152-W1152)/T1152</f>
        <v>1</v>
      </c>
      <c r="Z1152" s="2" t="s">
        <v>120</v>
      </c>
      <c r="AA1152" s="2" t="s">
        <v>3384</v>
      </c>
      <c r="AF1152" s="2">
        <f>AJ1152</f>
        <v>0</v>
      </c>
      <c r="AJ1152" s="2">
        <f>AI1152*T1152</f>
        <v>0</v>
      </c>
      <c r="AK1152" s="2">
        <f>T1152-W1152</f>
        <v>28588.61</v>
      </c>
      <c r="AL1152" s="5">
        <f>(T1152-W1152)/T1152</f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>(T1153-W1153)/T1153</f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>AJ1153</f>
        <v>0</v>
      </c>
      <c r="AJ1153" s="2">
        <f>AI1153*T1153</f>
        <v>0</v>
      </c>
      <c r="AK1153" s="2">
        <f>T1153-W1153</f>
        <v>79.819999999999993</v>
      </c>
      <c r="AL1153" s="5">
        <f>(T1153-W1153)/T1153</f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>(T1154-W1154)/T1154</f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>AJ1154</f>
        <v>0</v>
      </c>
      <c r="AJ1154" s="2">
        <f>AI1154*T1154</f>
        <v>0</v>
      </c>
      <c r="AK1154" s="2">
        <f>T1154-W1154</f>
        <v>60.599999999999994</v>
      </c>
      <c r="AL1154" s="5">
        <f>(T1154-W1154)/T1154</f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>(T1155-W1155)/T1155</f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>AJ1155</f>
        <v>0</v>
      </c>
      <c r="AJ1155" s="2">
        <f>AI1155*T1155</f>
        <v>0</v>
      </c>
      <c r="AK1155" s="2">
        <f>T1155-W1155</f>
        <v>50</v>
      </c>
      <c r="AL1155" s="5">
        <f>(T1155-W1155)/T1155</f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>(T1156-W1156)/T1156</f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>AJ1156</f>
        <v>0</v>
      </c>
      <c r="AG1156" s="2">
        <v>121.46</v>
      </c>
      <c r="AH1156" s="2">
        <v>210</v>
      </c>
      <c r="AJ1156" s="2">
        <f>AI1156*T1156</f>
        <v>0</v>
      </c>
      <c r="AK1156" s="2">
        <f>T1156-W1156</f>
        <v>98.54</v>
      </c>
      <c r="AL1156" s="5">
        <f>(T1156-W1156)/T1156</f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>(T1157-W1157)/T1157</f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>AJ1157</f>
        <v>0</v>
      </c>
      <c r="AG1157" s="2">
        <v>1.1399999999999999</v>
      </c>
      <c r="AH1157" s="2">
        <v>1.1399999999999999</v>
      </c>
      <c r="AJ1157" s="2">
        <f>AI1157*T1157</f>
        <v>0</v>
      </c>
      <c r="AK1157" s="2">
        <f>T1157-W1157</f>
        <v>0</v>
      </c>
      <c r="AL1157" s="5">
        <f>(T1157-W1157)/T1157</f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>(T1158-W1158)/T1158</f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>AJ1158</f>
        <v>0</v>
      </c>
      <c r="AG1158" s="2">
        <f>144.14+15.4</f>
        <v>159.54</v>
      </c>
      <c r="AH1158" s="2">
        <v>280</v>
      </c>
      <c r="AJ1158" s="2">
        <f>AI1158*T1158</f>
        <v>0</v>
      </c>
      <c r="AK1158" s="2">
        <f>T1158-W1158</f>
        <v>100.46000000000001</v>
      </c>
      <c r="AL1158" s="5">
        <f>(T1158-W1158)/T1158</f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>(T1159-W1159)/T1159</f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>AJ1159</f>
        <v>0</v>
      </c>
      <c r="AJ1159" s="2">
        <f>AI1159*T1159</f>
        <v>0</v>
      </c>
      <c r="AK1159" s="2">
        <f>T1159-W1159</f>
        <v>0</v>
      </c>
      <c r="AL1159" s="5">
        <f>(T1159-W1159)/T1159</f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>(T1160-W1160)/T1160</f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>AJ1160</f>
        <v>0</v>
      </c>
      <c r="AJ1160" s="2">
        <f>AI1160*T1160</f>
        <v>0</v>
      </c>
      <c r="AK1160" s="2">
        <f>T1160-W1160</f>
        <v>94.199999999999989</v>
      </c>
      <c r="AL1160" s="5">
        <f>(T1160-W1160)/T1160</f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>(T1161-W1161)/T1161</f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>AJ1161</f>
        <v>0</v>
      </c>
      <c r="AJ1161" s="2">
        <f>AI1161*T1161</f>
        <v>0</v>
      </c>
      <c r="AK1161" s="2">
        <f>T1161-W1161</f>
        <v>25</v>
      </c>
      <c r="AL1161" s="5">
        <f>(T1161-W1161)/T1161</f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>AJ1162</f>
        <v>0</v>
      </c>
      <c r="AJ1162" s="2">
        <f>AI1162*T1162</f>
        <v>0</v>
      </c>
      <c r="AK1162" s="2">
        <f>T1162-W1162</f>
        <v>0</v>
      </c>
      <c r="AL1162" s="5" t="e">
        <f>(T1162-W1162)/T1162</f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>AJ1163</f>
        <v>0</v>
      </c>
      <c r="AJ1163" s="2">
        <f>AI1163*T1163</f>
        <v>0</v>
      </c>
      <c r="AK1163" s="2">
        <f>T1163-W1163</f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3474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>AJ1164</f>
        <v>0</v>
      </c>
      <c r="AJ1164" s="2">
        <f>AI1164*T1164</f>
        <v>0</v>
      </c>
      <c r="AK1164" s="2">
        <f>T1164-W1164</f>
        <v>63.768599999999992</v>
      </c>
      <c r="AL1164" s="5">
        <f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3474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>(T1165-W1165)/T1165</f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>AJ1165</f>
        <v>0</v>
      </c>
      <c r="AJ1165" s="2">
        <f>AI1165*T1165</f>
        <v>0</v>
      </c>
      <c r="AK1165" s="2">
        <f>T1165-W1165</f>
        <v>174</v>
      </c>
      <c r="AL1165" s="5">
        <f>(T1165-W1165)/T1165</f>
        <v>1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M1166" s="2" t="s">
        <v>81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>(T1166-W1166)/T1166</f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>AJ1166</f>
        <v>0</v>
      </c>
      <c r="AG1166" s="2">
        <v>6.6266999999999996</v>
      </c>
      <c r="AH1166" s="2">
        <v>12</v>
      </c>
      <c r="AJ1166" s="2">
        <f>AI1166*T1166</f>
        <v>0</v>
      </c>
      <c r="AK1166" s="2">
        <f>T1166-W1166</f>
        <v>16.119900000000001</v>
      </c>
      <c r="AL1166" s="5">
        <f>(T1166-W1166)/T1166</f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M1167" s="2" t="s">
        <v>81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>(T1167-W1167)/T1167</f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>AJ1167</f>
        <v>0</v>
      </c>
      <c r="AG1167" s="2">
        <v>10.6</v>
      </c>
      <c r="AH1167" s="2">
        <v>18</v>
      </c>
      <c r="AJ1167" s="2">
        <f>AI1167*T1167</f>
        <v>0</v>
      </c>
      <c r="AK1167" s="2">
        <f>T1167-W1167</f>
        <v>7.4</v>
      </c>
      <c r="AL1167" s="5">
        <f>(T1167-W1167)/T1167</f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M1168" s="2" t="s">
        <v>81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>(T1168-W1168)/T1168</f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>AJ1168</f>
        <v>0</v>
      </c>
      <c r="AG1168" s="2">
        <v>9.14</v>
      </c>
      <c r="AH1168" s="2">
        <v>16</v>
      </c>
      <c r="AJ1168" s="2">
        <f>AI1168*T1168</f>
        <v>0</v>
      </c>
      <c r="AK1168" s="2">
        <f>T1168-W1168</f>
        <v>11.720000000000002</v>
      </c>
      <c r="AL1168" s="5">
        <f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M1169" s="2" t="s">
        <v>81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>(T1169-W1169)/T1169</f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>AJ1169</f>
        <v>0</v>
      </c>
      <c r="AG1169" s="2">
        <v>8.1999999999999993</v>
      </c>
      <c r="AH1169" s="2">
        <v>13</v>
      </c>
      <c r="AJ1169" s="2">
        <f>AI1169*T1169</f>
        <v>0</v>
      </c>
      <c r="AK1169" s="2">
        <f>T1169-W1169</f>
        <v>9.5999999999999979</v>
      </c>
      <c r="AL1169" s="5">
        <f>(T1169-W1169)/T1169</f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M1170" s="2" t="s">
        <v>81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>(T1170-W1170)/T1170</f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>AJ1170</f>
        <v>0</v>
      </c>
      <c r="AG1170" s="2">
        <v>7.9611999999999998</v>
      </c>
      <c r="AH1170" s="2">
        <v>14.4</v>
      </c>
      <c r="AJ1170" s="2">
        <f>AI1170*T1170</f>
        <v>0</v>
      </c>
      <c r="AK1170" s="2">
        <f>T1170-W1170</f>
        <v>14.0776</v>
      </c>
      <c r="AL1170" s="5">
        <f>(T1170-W1170)/T1170</f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>(T1171-W1171)/T1171</f>
        <v>0.25</v>
      </c>
      <c r="Z1171" s="2" t="s">
        <v>170</v>
      </c>
      <c r="AA1171" s="2" t="s">
        <v>170</v>
      </c>
      <c r="AF1171" s="2">
        <f>AJ1171</f>
        <v>0</v>
      </c>
      <c r="AJ1171" s="2">
        <f>AI1171*T1171</f>
        <v>0</v>
      </c>
      <c r="AK1171" s="2">
        <f>T1171-W1171</f>
        <v>10</v>
      </c>
      <c r="AL1171" s="5">
        <f>(T1171-W1171)/T1171</f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>(T1172-W1172)/T1172</f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>AJ1172</f>
        <v>0</v>
      </c>
      <c r="AG1172" s="2">
        <v>10.67</v>
      </c>
      <c r="AH1172" s="2">
        <v>21</v>
      </c>
      <c r="AJ1172" s="2">
        <f>AI1172*T1172</f>
        <v>0</v>
      </c>
      <c r="AK1172" s="2">
        <f>T1172-W1172</f>
        <v>7.9300000000000015</v>
      </c>
      <c r="AL1172" s="5">
        <f>(T1172-W1172)/T1172</f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1466</v>
      </c>
      <c r="J1173" s="2" t="s">
        <v>1467</v>
      </c>
      <c r="K1173" s="2">
        <v>962823313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>(T1173-W1173)/T1173</f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>AJ1173</f>
        <v>0</v>
      </c>
      <c r="AG1173" s="2">
        <v>9.3000000000000007</v>
      </c>
      <c r="AH1173" s="2">
        <v>21</v>
      </c>
      <c r="AJ1173" s="2">
        <f>AI1173*T1173</f>
        <v>0</v>
      </c>
      <c r="AK1173" s="2">
        <f>T1173-W1173</f>
        <v>9.3000000000000007</v>
      </c>
      <c r="AL1173" s="5">
        <f>(T1173-W1173)/T1173</f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1466</v>
      </c>
      <c r="J1174" s="2" t="s">
        <v>1467</v>
      </c>
      <c r="K1174" s="2">
        <v>962823313</v>
      </c>
      <c r="L1174" s="2" t="s">
        <v>601</v>
      </c>
      <c r="M1174" s="2" t="s">
        <v>41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>(T1174-W1174)/T1174</f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>AJ1174</f>
        <v>0</v>
      </c>
      <c r="AG1174" s="2">
        <v>3.7357999999999998</v>
      </c>
      <c r="AH1174" s="2">
        <v>9</v>
      </c>
      <c r="AJ1174" s="2">
        <f>AI1174*T1174</f>
        <v>0</v>
      </c>
      <c r="AK1174" s="2">
        <f>T1174-W1174</f>
        <v>8.1283999999999992</v>
      </c>
      <c r="AL1174" s="5">
        <f>(T1174-W1174)/T1174</f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1466</v>
      </c>
      <c r="J1175" s="2" t="s">
        <v>1467</v>
      </c>
      <c r="K1175" s="2">
        <v>962823313</v>
      </c>
      <c r="L1175" s="2" t="s">
        <v>601</v>
      </c>
      <c r="M1175" s="2" t="s">
        <v>41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>(T1175-W1175)/T1175</f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>AJ1175</f>
        <v>0</v>
      </c>
      <c r="AG1175" s="2">
        <v>5.2972999999999999</v>
      </c>
      <c r="AH1175" s="2">
        <v>10.8</v>
      </c>
      <c r="AJ1175" s="2">
        <f>AI1175*T1175</f>
        <v>0</v>
      </c>
      <c r="AK1175" s="2">
        <f>T1175-W1175</f>
        <v>8.6053999999999995</v>
      </c>
      <c r="AL1175" s="5">
        <f>(T1175-W1175)/T1175</f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>(T1176-W1176)/T1176</f>
        <v>1</v>
      </c>
      <c r="Z1176" s="2" t="s">
        <v>170</v>
      </c>
      <c r="AA1176" s="2" t="s">
        <v>170</v>
      </c>
      <c r="AF1176" s="2">
        <f>AJ1176</f>
        <v>0</v>
      </c>
      <c r="AJ1176" s="2">
        <f>AI1176*T1176</f>
        <v>0</v>
      </c>
      <c r="AK1176" s="2">
        <f>T1176-W1176</f>
        <v>8</v>
      </c>
      <c r="AL1176" s="5">
        <f>(T1176-W1176)/T1176</f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>(T1177-W1177)/T1177</f>
        <v>1</v>
      </c>
      <c r="Z1177" s="2" t="s">
        <v>118</v>
      </c>
      <c r="AF1177" s="2">
        <f>AJ1177</f>
        <v>0</v>
      </c>
      <c r="AJ1177" s="2">
        <f>AI1177*T1177</f>
        <v>0</v>
      </c>
      <c r="AK1177" s="2">
        <f>T1177-W1177</f>
        <v>800</v>
      </c>
      <c r="AL1177" s="5">
        <f>(T1177-W1177)/T1177</f>
        <v>1</v>
      </c>
    </row>
    <row r="1178" spans="1:38" x14ac:dyDescent="0.2">
      <c r="A1178" s="2">
        <v>2025</v>
      </c>
      <c r="B1178" s="2">
        <v>7</v>
      </c>
      <c r="C1178" s="2" t="s">
        <v>3404</v>
      </c>
      <c r="D1178" s="2" t="s">
        <v>279</v>
      </c>
      <c r="E1178" s="2" t="s">
        <v>38</v>
      </c>
      <c r="F1178" s="2" t="s">
        <v>39</v>
      </c>
      <c r="L1178" s="2" t="s">
        <v>202</v>
      </c>
      <c r="M1178" s="2" t="s">
        <v>81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>(T1178-W1178)/T1178</f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>AJ1178</f>
        <v>0</v>
      </c>
      <c r="AG1178" s="2">
        <v>10.6</v>
      </c>
      <c r="AH1178" s="2">
        <v>18</v>
      </c>
      <c r="AJ1178" s="2">
        <f>AI1178*T1178</f>
        <v>0</v>
      </c>
      <c r="AK1178" s="2">
        <f>T1178-W1178</f>
        <v>22.200000000000003</v>
      </c>
      <c r="AL1178" s="5">
        <f>(T1178-W1178)/T1178</f>
        <v>0.41111111111111115</v>
      </c>
    </row>
    <row r="1179" spans="1:38" x14ac:dyDescent="0.2">
      <c r="A1179" s="2">
        <v>2025</v>
      </c>
      <c r="B1179" s="2">
        <v>7</v>
      </c>
      <c r="C1179" s="2" t="s">
        <v>3404</v>
      </c>
      <c r="D1179" s="2" t="s">
        <v>279</v>
      </c>
      <c r="E1179" s="2" t="s">
        <v>38</v>
      </c>
      <c r="F1179" s="2" t="s">
        <v>39</v>
      </c>
      <c r="L1179" s="2" t="s">
        <v>202</v>
      </c>
      <c r="M1179" s="2" t="s">
        <v>81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>(T1179-W1179)/T1179</f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>AJ1179</f>
        <v>0</v>
      </c>
      <c r="AG1179" s="2">
        <v>15.020300000000001</v>
      </c>
      <c r="AH1179" s="2">
        <v>27.6</v>
      </c>
      <c r="AJ1179" s="2">
        <f>AI1179*T1179</f>
        <v>0</v>
      </c>
      <c r="AK1179" s="2">
        <f>T1179-W1179</f>
        <v>10.179699999999999</v>
      </c>
      <c r="AL1179" s="5">
        <f>(T1179-W1179)/T1179</f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>(T1180-W1180)/T1180</f>
        <v>1</v>
      </c>
      <c r="Z1180" s="2" t="s">
        <v>120</v>
      </c>
      <c r="AA1180" s="2" t="s">
        <v>3384</v>
      </c>
      <c r="AF1180" s="2">
        <f>AJ1180</f>
        <v>0</v>
      </c>
      <c r="AJ1180" s="2">
        <f>AI1180*T1180</f>
        <v>0</v>
      </c>
      <c r="AK1180" s="2">
        <f>T1180-W1180</f>
        <v>45</v>
      </c>
      <c r="AL1180" s="5">
        <f>(T1180-W1180)/T1180</f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>(T1181-W1181)/T1181</f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>AJ1181</f>
        <v>0</v>
      </c>
      <c r="AG1181" s="2">
        <v>343.38</v>
      </c>
      <c r="AJ1181" s="2">
        <f>AI1181*T1181</f>
        <v>0</v>
      </c>
      <c r="AK1181" s="2">
        <f>T1181-W1181</f>
        <v>347.23</v>
      </c>
      <c r="AL1181" s="5">
        <f>(T1181-W1181)/T1181</f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>(T1182-W1182)/T1182</f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>AJ1182</f>
        <v>0</v>
      </c>
      <c r="AJ1182" s="2">
        <f>AI1182*T1182</f>
        <v>0</v>
      </c>
      <c r="AK1182" s="2">
        <f>T1182-W1182</f>
        <v>108</v>
      </c>
      <c r="AL1182" s="5">
        <f>(T1182-W1182)/T1182</f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>(T1183-W1183)/T1183</f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>AJ1183</f>
        <v>0</v>
      </c>
      <c r="AJ1183" s="2">
        <f>AI1183*T1183</f>
        <v>0</v>
      </c>
      <c r="AK1183" s="2">
        <f>T1183-W1183</f>
        <v>25</v>
      </c>
      <c r="AL1183" s="5">
        <f>(T1183-W1183)/T1183</f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>(T1184-W1184)/T1184</f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>AJ1184</f>
        <v>0</v>
      </c>
      <c r="AG1184" s="2">
        <v>122.446</v>
      </c>
      <c r="AH1184" s="2">
        <v>230</v>
      </c>
      <c r="AJ1184" s="2">
        <f>AI1184*T1184</f>
        <v>0</v>
      </c>
      <c r="AK1184" s="2">
        <f>T1184-W1184</f>
        <v>97.554000000000002</v>
      </c>
      <c r="AL1184" s="5">
        <f>(T1184-W1184)/T1184</f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>(T1185-W1185)/T1185</f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>AJ1185</f>
        <v>0</v>
      </c>
      <c r="AJ1185" s="2">
        <f>AI1185*T1185</f>
        <v>0</v>
      </c>
      <c r="AK1185" s="2">
        <f>T1185-W1185</f>
        <v>0</v>
      </c>
      <c r="AL1185" s="5">
        <f>(T1185-W1185)/T1185</f>
        <v>0</v>
      </c>
    </row>
    <row r="1186" spans="1:38" x14ac:dyDescent="0.2">
      <c r="A1186" s="2">
        <v>2025</v>
      </c>
      <c r="B1186" s="2">
        <v>7</v>
      </c>
      <c r="C1186" s="2" t="s">
        <v>3418</v>
      </c>
      <c r="D1186" s="2" t="s">
        <v>1477</v>
      </c>
      <c r="E1186" s="2" t="s">
        <v>38</v>
      </c>
      <c r="F1186" s="2" t="s">
        <v>39</v>
      </c>
      <c r="L1186" s="2" t="s">
        <v>178</v>
      </c>
      <c r="M1186" s="2" t="s">
        <v>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>(T1186-W1186)/T1186</f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>AJ1186</f>
        <v>0</v>
      </c>
      <c r="AG1186" s="2">
        <v>6.6266999999999996</v>
      </c>
      <c r="AH1186" s="2">
        <v>12</v>
      </c>
      <c r="AJ1186" s="2">
        <f>AI1186*T1186</f>
        <v>0</v>
      </c>
      <c r="AK1186" s="2">
        <f>T1186-W1186</f>
        <v>32.239800000000002</v>
      </c>
      <c r="AL1186" s="5">
        <f>(T1186-W1186)/T1186</f>
        <v>0.44777500000000003</v>
      </c>
    </row>
    <row r="1187" spans="1:38" x14ac:dyDescent="0.2">
      <c r="A1187" s="2">
        <v>2025</v>
      </c>
      <c r="B1187" s="2">
        <v>7</v>
      </c>
      <c r="C1187" s="2" t="s">
        <v>3418</v>
      </c>
      <c r="D1187" s="2" t="s">
        <v>1477</v>
      </c>
      <c r="E1187" s="2" t="s">
        <v>38</v>
      </c>
      <c r="F1187" s="2" t="s">
        <v>39</v>
      </c>
      <c r="L1187" s="2" t="s">
        <v>178</v>
      </c>
      <c r="M1187" s="2" t="s">
        <v>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>(T1187-W1187)/T1187</f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>AJ1187</f>
        <v>0</v>
      </c>
      <c r="AG1187" s="2">
        <v>3.7357999999999998</v>
      </c>
      <c r="AH1187" s="2">
        <v>9</v>
      </c>
      <c r="AJ1187" s="2">
        <f>AI1187*T1187</f>
        <v>0</v>
      </c>
      <c r="AK1187" s="2">
        <f>T1187-W1187</f>
        <v>4.0641999999999996</v>
      </c>
      <c r="AL1187" s="5">
        <f>(T1187-W1187)/T1187</f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>(T1188-W1188)/T1188</f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>AJ1188</f>
        <v>0</v>
      </c>
      <c r="AJ1188" s="2">
        <f>AI1188*T1188</f>
        <v>0</v>
      </c>
      <c r="AK1188" s="2">
        <f>T1188-W1188</f>
        <v>111.6</v>
      </c>
      <c r="AL1188" s="5">
        <f>(T1188-W1188)/T1188</f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>(T1189-W1189)/T1189</f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>AJ1189</f>
        <v>0</v>
      </c>
      <c r="AJ1189" s="2">
        <f>AI1189*T1189</f>
        <v>0</v>
      </c>
      <c r="AK1189" s="2">
        <f>T1189-W1189</f>
        <v>18.75</v>
      </c>
      <c r="AL1189" s="5">
        <f>(T1189-W1189)/T1189</f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>(T1190-W1190)/T1190</f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>AJ1190</f>
        <v>0</v>
      </c>
      <c r="AJ1190" s="2">
        <f>AI1190*T1190</f>
        <v>0</v>
      </c>
      <c r="AK1190" s="2">
        <f>T1190-W1190</f>
        <v>5997.2699999999986</v>
      </c>
      <c r="AL1190" s="5">
        <f>(T1190-W1190)/T1190</f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>(T1191-W1191)/T1191</f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>AJ1191</f>
        <v>0</v>
      </c>
      <c r="AG1191" s="2">
        <v>6.6266999999999996</v>
      </c>
      <c r="AH1191" s="2">
        <v>12</v>
      </c>
      <c r="AJ1191" s="2">
        <f>AI1191*T1191</f>
        <v>0</v>
      </c>
      <c r="AK1191" s="2">
        <f>T1191-W1191</f>
        <v>5.3733000000000004</v>
      </c>
      <c r="AL1191" s="5">
        <f>(T1191-W1191)/T1191</f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>(T1192-W1192)/T1192</f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>AJ1192</f>
        <v>0</v>
      </c>
      <c r="AG1192" s="2">
        <v>8.1999999999999993</v>
      </c>
      <c r="AH1192" s="2">
        <v>13</v>
      </c>
      <c r="AJ1192" s="2">
        <f>AI1192*T1192</f>
        <v>0</v>
      </c>
      <c r="AK1192" s="2">
        <f>T1192-W1192</f>
        <v>46</v>
      </c>
      <c r="AL1192" s="5">
        <f>(T1192-W1192)/T1192</f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>(T1193-W1193)/T1193</f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>AJ1193</f>
        <v>0</v>
      </c>
      <c r="AJ1193" s="2">
        <f>AI1193*T1193</f>
        <v>0</v>
      </c>
      <c r="AK1193" s="2">
        <f>T1193-W1193</f>
        <v>3.06</v>
      </c>
      <c r="AL1193" s="5">
        <f>(T1193-W1193)/T1193</f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>(T1194-W1194)/T1194</f>
        <v>0.58248333333333335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>AJ1194</f>
        <v>0</v>
      </c>
      <c r="AJ1194" s="2">
        <f>AI1194*T1194</f>
        <v>0</v>
      </c>
      <c r="AK1194" s="2">
        <f>T1194-W1194</f>
        <v>3.4948999999999999</v>
      </c>
      <c r="AL1194" s="5">
        <f>(T1194-W1194)/T1194</f>
        <v>0.58248333333333335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>AJ1195</f>
        <v>0</v>
      </c>
      <c r="AJ1195" s="2">
        <f>AI1195*T1195</f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>AJ1196</f>
        <v>0</v>
      </c>
      <c r="AJ1196" s="2">
        <f>AI1196*T1196</f>
        <v>0</v>
      </c>
      <c r="AK1196" s="2">
        <f>T1196-W1196</f>
        <v>99.75</v>
      </c>
      <c r="AL1196" s="5">
        <f>(T1196-W1196)/T1196</f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>(T1197-W1197)/T1197</f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>AJ1197</f>
        <v>0</v>
      </c>
      <c r="AJ1197" s="2">
        <f>AI1197*T1197</f>
        <v>0</v>
      </c>
      <c r="AK1197" s="2">
        <f>T1197-W1197</f>
        <v>98.02</v>
      </c>
      <c r="AL1197" s="5">
        <f>(T1197-W1197)/T1197</f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>(T1198-W1198)/T1198</f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>AJ1198</f>
        <v>0</v>
      </c>
      <c r="AJ1198" s="2">
        <f>AI1198*T1198</f>
        <v>0</v>
      </c>
      <c r="AK1198" s="2">
        <f>T1198-W1198</f>
        <v>0</v>
      </c>
      <c r="AL1198" s="5">
        <f>(T1198-W1198)/T1198</f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>(T1199-W1199)/T1199</f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>AJ1199</f>
        <v>0</v>
      </c>
      <c r="AG1199" s="2">
        <v>3.7357999999999998</v>
      </c>
      <c r="AH1199" s="2">
        <v>9</v>
      </c>
      <c r="AJ1199" s="2">
        <f>AI1199*T1199</f>
        <v>0</v>
      </c>
      <c r="AK1199" s="2">
        <f>T1199-W1199</f>
        <v>4.0641999999999996</v>
      </c>
      <c r="AL1199" s="5">
        <f>(T1199-W1199)/T1199</f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>(T1200-W1200)/T1200</f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>AJ1200</f>
        <v>0</v>
      </c>
      <c r="AG1200" s="2">
        <v>5.9066999999999998</v>
      </c>
      <c r="AH1200" s="2">
        <v>12.6</v>
      </c>
      <c r="AJ1200" s="2">
        <f>AI1200*T1200</f>
        <v>0</v>
      </c>
      <c r="AK1200" s="2">
        <f>T1200-W1200</f>
        <v>6.0933000000000002</v>
      </c>
      <c r="AL1200" s="5">
        <f>(T1200-W1200)/T1200</f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>(T1201-W1201)/T1201</f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>AJ1201</f>
        <v>0</v>
      </c>
      <c r="AG1201" s="2">
        <v>7.2217000000000002</v>
      </c>
      <c r="AH1201" s="2">
        <v>14.4</v>
      </c>
      <c r="AJ1201" s="2">
        <f>AI1201*T1201</f>
        <v>0</v>
      </c>
      <c r="AK1201" s="2">
        <f>T1201-W1201</f>
        <v>5.9782999999999991</v>
      </c>
      <c r="AL1201" s="5">
        <f>(T1201-W1201)/T1201</f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>(T1202-W1202)/T1202</f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>AJ1202</f>
        <v>0</v>
      </c>
      <c r="AJ1202" s="2">
        <f>AI1202*T1202</f>
        <v>0</v>
      </c>
      <c r="AK1202" s="2">
        <f>T1202-W1202</f>
        <v>7.125</v>
      </c>
      <c r="AL1202" s="5">
        <f>(T1202-W1202)/T1202</f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>(T1203-W1203)/T1203</f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>AJ1203</f>
        <v>0</v>
      </c>
      <c r="AG1203" s="2">
        <v>10.6</v>
      </c>
      <c r="AH1203" s="2">
        <v>18</v>
      </c>
      <c r="AJ1203" s="2">
        <f>AI1203*T1203</f>
        <v>0</v>
      </c>
      <c r="AK1203" s="2">
        <f>T1203-W1203</f>
        <v>14.8</v>
      </c>
      <c r="AL1203" s="5">
        <f>(T1203-W1203)/T1203</f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>(T1204-W1204)/T1204</f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>AJ1204</f>
        <v>0</v>
      </c>
      <c r="AG1204" s="2">
        <v>8.1999999999999993</v>
      </c>
      <c r="AH1204" s="2">
        <v>13</v>
      </c>
      <c r="AJ1204" s="2">
        <f>AI1204*T1204</f>
        <v>0</v>
      </c>
      <c r="AK1204" s="2">
        <f>T1204-W1204</f>
        <v>9.5999999999999979</v>
      </c>
      <c r="AL1204" s="5">
        <f>(T1204-W1204)/T1204</f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>(T1205-W1205)/T1205</f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>AJ1205</f>
        <v>0</v>
      </c>
      <c r="AJ1205" s="2">
        <f>AI1205*T1205</f>
        <v>0</v>
      </c>
      <c r="AK1205" s="2">
        <f>T1205-W1205</f>
        <v>22.027999999999999</v>
      </c>
      <c r="AL1205" s="5">
        <f>(T1205-W1205)/T1205</f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E1206" s="2" t="s">
        <v>38</v>
      </c>
      <c r="F1206" s="2" t="s">
        <v>39</v>
      </c>
      <c r="L1206" s="2" t="s">
        <v>178</v>
      </c>
      <c r="M1206" s="2" t="s">
        <v>41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>(T1206-W1206)/T1206</f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>AJ1206</f>
        <v>0</v>
      </c>
      <c r="AG1206" s="2">
        <v>8.1999999999999993</v>
      </c>
      <c r="AH1206" s="2">
        <v>13</v>
      </c>
      <c r="AJ1206" s="2">
        <f>AI1206*T1206</f>
        <v>0</v>
      </c>
      <c r="AK1206" s="2">
        <f>T1206-W1206</f>
        <v>9.5999999999999979</v>
      </c>
      <c r="AL1206" s="5">
        <f>(T1206-W1206)/T1206</f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>(T1207-W1207)/T1207</f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>AJ1207</f>
        <v>0</v>
      </c>
      <c r="AG1207" s="2">
        <v>7.2217000000000002</v>
      </c>
      <c r="AH1207" s="2">
        <v>14.4</v>
      </c>
      <c r="AJ1207" s="2">
        <f>AI1207*T1207</f>
        <v>0</v>
      </c>
      <c r="AK1207" s="2">
        <f>T1207-W1207</f>
        <v>5.9782999999999991</v>
      </c>
      <c r="AL1207" s="5">
        <f>(T1207-W1207)/T1207</f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>(T1208-W1208)/T1208</f>
        <v>0.44138749999999999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>AJ1208</f>
        <v>0</v>
      </c>
      <c r="AJ1208" s="2">
        <f>AI1208*T1208</f>
        <v>0</v>
      </c>
      <c r="AK1208" s="2">
        <f>T1208-W1208</f>
        <v>10.593299999999999</v>
      </c>
      <c r="AL1208" s="5">
        <f>(T1208-W1208)/T1208</f>
        <v>0.44138749999999999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>(T1209-W1209)/T1209</f>
        <v>0.43663541666666661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>AJ1209</f>
        <v>0</v>
      </c>
      <c r="AJ1209" s="2">
        <f>AI1209*T1209</f>
        <v>0</v>
      </c>
      <c r="AK1209" s="2">
        <f>T1209-W1209</f>
        <v>12.575099999999999</v>
      </c>
      <c r="AL1209" s="5">
        <f>(T1209-W1209)/T1209</f>
        <v>0.43663541666666661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>(T1210-W1210)/T1210</f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>AJ1210</f>
        <v>0</v>
      </c>
      <c r="AJ1210" s="2">
        <f>AI1210*T1210</f>
        <v>0</v>
      </c>
      <c r="AK1210" s="2">
        <f>T1210-W1210</f>
        <v>16.8</v>
      </c>
      <c r="AL1210" s="5">
        <f>(T1210-W1210)/T1210</f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>(T1211-W1211)/T1211</f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>AJ1211</f>
        <v>0</v>
      </c>
      <c r="AJ1211" s="2">
        <f>AI1211*T1211</f>
        <v>0</v>
      </c>
      <c r="AK1211" s="2">
        <f>T1211-W1211</f>
        <v>19.2</v>
      </c>
      <c r="AL1211" s="5">
        <f>(T1211-W1211)/T1211</f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>(T1212-W1212)/T1212</f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>AJ1212</f>
        <v>0</v>
      </c>
      <c r="AJ1212" s="2">
        <f>AI1212*T1212</f>
        <v>0</v>
      </c>
      <c r="AK1212" s="2">
        <f>T1212-W1212</f>
        <v>22.2</v>
      </c>
      <c r="AL1212" s="5">
        <f>(T1212-W1212)/T1212</f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>(T1213-W1213)/T1213</f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>AJ1213</f>
        <v>0</v>
      </c>
      <c r="AG1213" s="2">
        <v>10.6</v>
      </c>
      <c r="AH1213" s="2">
        <v>18</v>
      </c>
      <c r="AJ1213" s="2">
        <f>AI1213*T1213</f>
        <v>0</v>
      </c>
      <c r="AK1213" s="2">
        <f>T1213-W1213</f>
        <v>14.8</v>
      </c>
      <c r="AL1213" s="5">
        <f>(T1213-W1213)/T1213</f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>(T1214-W1214)/T1214</f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>AJ1214</f>
        <v>0</v>
      </c>
      <c r="AG1214" s="2">
        <v>122.446</v>
      </c>
      <c r="AH1214" s="2">
        <v>230</v>
      </c>
      <c r="AJ1214" s="2">
        <f>AI1214*T1214</f>
        <v>0</v>
      </c>
      <c r="AK1214" s="2">
        <f>T1214-W1214</f>
        <v>97.554000000000002</v>
      </c>
      <c r="AL1214" s="5">
        <f>(T1214-W1214)/T1214</f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>(T1215-W1215)/T1215</f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>AJ1215</f>
        <v>0</v>
      </c>
      <c r="AJ1215" s="2">
        <f>AI1215*T1215</f>
        <v>0</v>
      </c>
      <c r="AK1215" s="2">
        <f>T1215-W1215</f>
        <v>0</v>
      </c>
      <c r="AL1215" s="5">
        <f>(T1215-W1215)/T1215</f>
        <v>0</v>
      </c>
    </row>
    <row r="1216" spans="1:38" x14ac:dyDescent="0.2">
      <c r="A1216" s="2">
        <v>2025</v>
      </c>
      <c r="B1216" s="2">
        <v>7</v>
      </c>
      <c r="C1216" s="2" t="s">
        <v>3418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>(T1216-W1216)/T1216</f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>AJ1216</f>
        <v>0</v>
      </c>
      <c r="AJ1216" s="2">
        <f>AI1216*T1216</f>
        <v>0</v>
      </c>
      <c r="AK1216" s="2">
        <f>T1216-W1216</f>
        <v>401</v>
      </c>
      <c r="AL1216" s="5">
        <f>(T1216-W1216)/T1216</f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>AJ1217</f>
        <v>0</v>
      </c>
      <c r="AJ1217" s="2">
        <f>AI1217*T1217</f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>AJ1218</f>
        <v>0</v>
      </c>
      <c r="AJ1218" s="2">
        <f>AI1218*T1218</f>
        <v>0</v>
      </c>
      <c r="AK1218" s="2">
        <f>T1218-W1218</f>
        <v>2367.1000000000004</v>
      </c>
      <c r="AL1218" s="5">
        <f>(T1218-W1218)/T1218</f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>AJ1219</f>
        <v>0</v>
      </c>
      <c r="AJ1219" s="2">
        <f>AI1219*T1219</f>
        <v>0</v>
      </c>
      <c r="AK1219" s="2">
        <f>T1219-W1219</f>
        <v>0</v>
      </c>
      <c r="AL1219" s="5" t="e">
        <f>(T1219-W1219)/T1219</f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>(T1220-W1220)/T1220</f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>AJ1220</f>
        <v>0</v>
      </c>
      <c r="AJ1220" s="2">
        <f>AI1220*T1220</f>
        <v>0</v>
      </c>
      <c r="AK1220" s="2">
        <f>T1220-W1220</f>
        <v>47.4</v>
      </c>
      <c r="AL1220" s="5">
        <f>(T1220-W1220)/T1220</f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>(T1221-W1221)/T1221</f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>AJ1221</f>
        <v>0</v>
      </c>
      <c r="AJ1221" s="2">
        <f>AI1221*T1221</f>
        <v>0</v>
      </c>
      <c r="AK1221" s="2">
        <f>T1221-W1221</f>
        <v>25</v>
      </c>
      <c r="AL1221" s="5">
        <f>(T1221-W1221)/T1221</f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>(T1222-W1222)/T1222</f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>AJ1222</f>
        <v>0</v>
      </c>
      <c r="AJ1222" s="2">
        <f>AI1222*T1222</f>
        <v>0</v>
      </c>
      <c r="AK1222" s="2">
        <f>T1222-W1222</f>
        <v>176.32</v>
      </c>
      <c r="AL1222" s="5">
        <f>(T1222-W1222)/T1222</f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>(T1223-W1223)/T1223</f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>AJ1223</f>
        <v>0</v>
      </c>
      <c r="AG1223" s="2">
        <v>117.453</v>
      </c>
      <c r="AH1223" s="2">
        <v>220</v>
      </c>
      <c r="AJ1223" s="2">
        <f>AI1223*T1223</f>
        <v>0</v>
      </c>
      <c r="AK1223" s="2">
        <f>T1223-W1223</f>
        <v>102.547</v>
      </c>
      <c r="AL1223" s="5">
        <f>(T1223-W1223)/T1223</f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>(T1224-W1224)/T1224</f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>AJ1224</f>
        <v>0</v>
      </c>
      <c r="AG1224" s="2">
        <v>120.636</v>
      </c>
      <c r="AH1224" s="2">
        <v>220</v>
      </c>
      <c r="AJ1224" s="2">
        <f>AI1224*T1224</f>
        <v>0</v>
      </c>
      <c r="AK1224" s="2">
        <f>T1224-W1224</f>
        <v>99.364000000000004</v>
      </c>
      <c r="AL1224" s="5">
        <f>(T1224-W1224)/T1224</f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>(T1225-W1225)/T1225</f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>AJ1225</f>
        <v>0</v>
      </c>
      <c r="AJ1225" s="2">
        <f>AI1225*T1225</f>
        <v>0</v>
      </c>
      <c r="AK1225" s="2">
        <f>T1225-W1225</f>
        <v>0</v>
      </c>
      <c r="AL1225" s="5">
        <f>(T1225-W1225)/T1225</f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>(T1226-W1226)/T1226</f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>AJ1226</f>
        <v>0</v>
      </c>
      <c r="AJ1226" s="2">
        <f>AI1226*T1226</f>
        <v>0</v>
      </c>
      <c r="AK1226" s="2">
        <f>T1226-W1226</f>
        <v>98.02</v>
      </c>
      <c r="AL1226" s="5">
        <f>(T1226-W1226)/T1226</f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>(T1227-W1227)/T1227</f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>AJ1227</f>
        <v>0</v>
      </c>
      <c r="AJ1227" s="2">
        <f>AI1227*T1227</f>
        <v>0</v>
      </c>
      <c r="AK1227" s="2">
        <f>T1227-W1227</f>
        <v>0</v>
      </c>
      <c r="AL1227" s="5">
        <f>(T1227-W1227)/T1227</f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>(T1228-W1228)/T1228</f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>AJ1228</f>
        <v>0</v>
      </c>
      <c r="AG1228" s="2">
        <v>3.7357999999999998</v>
      </c>
      <c r="AH1228" s="2">
        <v>9</v>
      </c>
      <c r="AJ1228" s="2">
        <f>AI1228*T1228</f>
        <v>0</v>
      </c>
      <c r="AK1228" s="2">
        <f>T1228-W1228</f>
        <v>4.0641999999999996</v>
      </c>
      <c r="AL1228" s="5">
        <f>(T1228-W1228)/T1228</f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>(T1229-W1229)/T1229</f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>AJ1229</f>
        <v>0</v>
      </c>
      <c r="AG1229" s="2">
        <v>10.6</v>
      </c>
      <c r="AH1229" s="2">
        <v>18</v>
      </c>
      <c r="AJ1229" s="2">
        <f>AI1229*T1229</f>
        <v>0</v>
      </c>
      <c r="AK1229" s="2">
        <f>T1229-W1229</f>
        <v>34</v>
      </c>
      <c r="AL1229" s="5">
        <f>(T1229-W1229)/T1229</f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>(T1230-W1230)/T1230</f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>AJ1230</f>
        <v>0</v>
      </c>
      <c r="AJ1230" s="2">
        <f>AI1230*T1230</f>
        <v>0</v>
      </c>
      <c r="AK1230" s="2">
        <f>T1230-W1230</f>
        <v>12</v>
      </c>
      <c r="AL1230" s="5">
        <f>(T1230-W1230)/T1230</f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>(T1231-W1231)/T1231</f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>AJ1231</f>
        <v>0</v>
      </c>
      <c r="AJ1231" s="2">
        <f>AI1231*T1231</f>
        <v>0</v>
      </c>
      <c r="AK1231" s="2">
        <f>T1231-W1231</f>
        <v>8.2100000000000009</v>
      </c>
      <c r="AL1231" s="5">
        <f>(T1231-W1231)/T1231</f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>(T1232-W1232)/T1232</f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>AJ1232</f>
        <v>0</v>
      </c>
      <c r="AJ1232" s="2">
        <f>AI1232*T1232</f>
        <v>0</v>
      </c>
      <c r="AK1232" s="2">
        <f>T1232-W1232</f>
        <v>9</v>
      </c>
      <c r="AL1232" s="5">
        <f>(T1232-W1232)/T1232</f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>(T1233-W1233)/T1233</f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>AJ1233</f>
        <v>0</v>
      </c>
      <c r="AG1233" s="2">
        <v>0.4617</v>
      </c>
      <c r="AJ1233" s="2">
        <f>AI1233*T1233</f>
        <v>0</v>
      </c>
      <c r="AK1233" s="2">
        <f>T1233-W1233</f>
        <v>0.76600000000000001</v>
      </c>
      <c r="AL1233" s="5">
        <f>(T1233-W1233)/T1233</f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>(T1234-W1234)/T1234</f>
        <v>1</v>
      </c>
      <c r="Z1234" s="2" t="s">
        <v>118</v>
      </c>
      <c r="AF1234" s="2">
        <f>AJ1234</f>
        <v>0</v>
      </c>
      <c r="AJ1234" s="2">
        <f>AI1234*T1234</f>
        <v>0</v>
      </c>
      <c r="AK1234" s="2">
        <f>T1234-W1234</f>
        <v>691.03</v>
      </c>
      <c r="AL1234" s="5">
        <f>(T1234-W1234)/T1234</f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M1235" s="2" t="s">
        <v>81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>(T1235-W1235)/T1235</f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>AJ1235</f>
        <v>0</v>
      </c>
      <c r="AG1235" s="2">
        <v>6.6266999999999996</v>
      </c>
      <c r="AH1235" s="2">
        <v>12</v>
      </c>
      <c r="AJ1235" s="2">
        <f>AI1235*T1235</f>
        <v>0</v>
      </c>
      <c r="AK1235" s="2">
        <f>T1235-W1235</f>
        <v>26.866500000000002</v>
      </c>
      <c r="AL1235" s="5">
        <f>(T1235-W1235)/T1235</f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M1236" s="2" t="s">
        <v>81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>(T1236-W1236)/T1236</f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>AJ1236</f>
        <v>0</v>
      </c>
      <c r="AG1236" s="2">
        <v>3.7357999999999998</v>
      </c>
      <c r="AH1236" s="2">
        <v>9</v>
      </c>
      <c r="AJ1236" s="2">
        <f>AI1236*T1236</f>
        <v>0</v>
      </c>
      <c r="AK1236" s="2">
        <f>T1236-W1236</f>
        <v>8.1283999999999992</v>
      </c>
      <c r="AL1236" s="5">
        <f>(T1236-W1236)/T1236</f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M1237" s="2" t="s">
        <v>81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>(T1237-W1237)/T1237</f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>AJ1237</f>
        <v>0</v>
      </c>
      <c r="AG1237" s="2">
        <v>5.2972999999999999</v>
      </c>
      <c r="AH1237" s="2">
        <v>10.8</v>
      </c>
      <c r="AJ1237" s="2">
        <f>AI1237*T1237</f>
        <v>0</v>
      </c>
      <c r="AK1237" s="2">
        <f>T1237-W1237</f>
        <v>8.6053999999999995</v>
      </c>
      <c r="AL1237" s="5">
        <f>(T1237-W1237)/T1237</f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M1238" s="2" t="s">
        <v>81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>(T1238-W1238)/T1238</f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>AJ1238</f>
        <v>0</v>
      </c>
      <c r="AG1238" s="2">
        <v>10.6</v>
      </c>
      <c r="AH1238" s="2">
        <v>18</v>
      </c>
      <c r="AJ1238" s="2">
        <f>AI1238*T1238</f>
        <v>0</v>
      </c>
      <c r="AK1238" s="2">
        <f>T1238-W1238</f>
        <v>32</v>
      </c>
      <c r="AL1238" s="5">
        <f>(T1238-W1238)/T1238</f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M1239" s="2" t="s">
        <v>81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>(T1239-W1239)/T1239</f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>AJ1239</f>
        <v>0</v>
      </c>
      <c r="AG1239" s="2">
        <v>8.1999999999999993</v>
      </c>
      <c r="AH1239" s="2">
        <v>13</v>
      </c>
      <c r="AJ1239" s="2">
        <f>AI1239*T1239</f>
        <v>0</v>
      </c>
      <c r="AK1239" s="2">
        <f>T1239-W1239</f>
        <v>9.5999999999999979</v>
      </c>
      <c r="AL1239" s="5">
        <f>(T1239-W1239)/T1239</f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M1240" s="2" t="s">
        <v>81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>(T1240-W1240)/T1240</f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>AJ1240</f>
        <v>0</v>
      </c>
      <c r="AJ1240" s="2">
        <f>AI1240*T1240</f>
        <v>0</v>
      </c>
      <c r="AK1240" s="2">
        <f>T1240-W1240</f>
        <v>9.7200000000000024</v>
      </c>
      <c r="AL1240" s="5">
        <f>(T1240-W1240)/T1240</f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>(T1241-W1241)/T1241</f>
        <v>1</v>
      </c>
      <c r="Z1241" s="2" t="s">
        <v>118</v>
      </c>
      <c r="AF1241" s="2">
        <f>AJ1241</f>
        <v>0</v>
      </c>
      <c r="AJ1241" s="2">
        <f>AI1241*T1241</f>
        <v>0</v>
      </c>
      <c r="AK1241" s="2">
        <f>T1241-W1241</f>
        <v>153.34</v>
      </c>
      <c r="AL1241" s="5">
        <f>(T1241-W1241)/T1241</f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>(T1242-W1242)/T1242</f>
        <v>1</v>
      </c>
      <c r="Z1242" s="2" t="s">
        <v>120</v>
      </c>
      <c r="AA1242" s="2" t="s">
        <v>3384</v>
      </c>
      <c r="AF1242" s="2">
        <f>AJ1242</f>
        <v>0</v>
      </c>
      <c r="AJ1242" s="2">
        <f>AI1242*T1242</f>
        <v>0</v>
      </c>
      <c r="AK1242" s="2">
        <f>T1242-W1242</f>
        <v>70</v>
      </c>
      <c r="AL1242" s="5">
        <f>(T1242-W1242)/T1242</f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>(T1243-W1243)/T1243</f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>AJ1243</f>
        <v>0</v>
      </c>
      <c r="AJ1243" s="2">
        <f>AI1243*T1243</f>
        <v>0</v>
      </c>
      <c r="AK1243" s="2">
        <f>T1243-W1243</f>
        <v>55.300000000000011</v>
      </c>
      <c r="AL1243" s="5">
        <f>(T1243-W1243)/T1243</f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>(T1244-W1244)/T1244</f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>AJ1244</f>
        <v>0</v>
      </c>
      <c r="AG1244" s="2">
        <v>10.6</v>
      </c>
      <c r="AH1244" s="2">
        <v>18</v>
      </c>
      <c r="AJ1244" s="2">
        <f>AI1244*T1244</f>
        <v>0</v>
      </c>
      <c r="AK1244" s="2">
        <f>T1244-W1244</f>
        <v>7.4</v>
      </c>
      <c r="AL1244" s="5">
        <f>(T1244-W1244)/T1244</f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>(T1245-W1245)/T1245</f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>AJ1245</f>
        <v>0</v>
      </c>
      <c r="AG1245" s="2">
        <v>8.1999999999999993</v>
      </c>
      <c r="AH1245" s="2">
        <v>13</v>
      </c>
      <c r="AJ1245" s="2">
        <f>AI1245*T1245</f>
        <v>0</v>
      </c>
      <c r="AK1245" s="2">
        <f>T1245-W1245</f>
        <v>4.7999999999999989</v>
      </c>
      <c r="AL1245" s="5">
        <f>(T1245-W1245)/T1245</f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>(T1246-W1246)/T1246</f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>AJ1246</f>
        <v>0</v>
      </c>
      <c r="AG1246" s="2">
        <v>0.98</v>
      </c>
      <c r="AH1246" s="2">
        <v>1.8</v>
      </c>
      <c r="AJ1246" s="2">
        <f>AI1246*T1246</f>
        <v>0</v>
      </c>
      <c r="AK1246" s="2">
        <f>T1246-W1246</f>
        <v>2.02</v>
      </c>
      <c r="AL1246" s="5">
        <f>(T1246-W1246)/T1246</f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>(T1247-W1247)/T1247</f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>AJ1247</f>
        <v>0</v>
      </c>
      <c r="AG1247" s="2">
        <v>7.9611999999999998</v>
      </c>
      <c r="AH1247" s="2">
        <v>14.4</v>
      </c>
      <c r="AJ1247" s="2">
        <f>AI1247*T1247</f>
        <v>0</v>
      </c>
      <c r="AK1247" s="2">
        <f>T1247-W1247</f>
        <v>7.0388000000000002</v>
      </c>
      <c r="AL1247" s="5">
        <f>(T1247-W1247)/T1247</f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>(T1248-W1248)/T1248</f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>AJ1248</f>
        <v>0</v>
      </c>
      <c r="AJ1248" s="2">
        <f>AI1248*T1248</f>
        <v>0</v>
      </c>
      <c r="AK1248" s="2">
        <f>T1248-W1248</f>
        <v>375</v>
      </c>
      <c r="AL1248" s="5">
        <f>(T1248-W1248)/T1248</f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>(T1249-W1249)/T1249</f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>AJ1249</f>
        <v>0</v>
      </c>
      <c r="AG1249" s="2">
        <v>1000</v>
      </c>
      <c r="AJ1249" s="2">
        <f>AI1249*T1249</f>
        <v>0</v>
      </c>
      <c r="AK1249" s="2">
        <f>T1249-W1249</f>
        <v>500</v>
      </c>
      <c r="AL1249" s="5">
        <f>(T1249-W1249)/T1249</f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>(T1250-W1250)/T1250</f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>AJ1250</f>
        <v>0</v>
      </c>
      <c r="AJ1250" s="2">
        <f>AI1250*T1250</f>
        <v>0</v>
      </c>
      <c r="AK1250" s="2">
        <f>T1250-W1250</f>
        <v>17.555</v>
      </c>
      <c r="AL1250" s="5">
        <f>(T1250-W1250)/T1250</f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>(T1251-W1251)/T1251</f>
        <v>1</v>
      </c>
      <c r="Z1251" s="2" t="s">
        <v>3231</v>
      </c>
      <c r="AF1251" s="2">
        <f>AJ1251</f>
        <v>0</v>
      </c>
      <c r="AJ1251" s="2">
        <f>AI1251*T1251</f>
        <v>0</v>
      </c>
      <c r="AK1251" s="2">
        <f>T1251-W1251</f>
        <v>99.9</v>
      </c>
      <c r="AL1251" s="5">
        <f>(T1251-W1251)/T1251</f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>(T1252-W1252)/T1252</f>
        <v>1</v>
      </c>
      <c r="Z1252" s="2" t="s">
        <v>118</v>
      </c>
      <c r="AF1252" s="2">
        <f>AJ1252</f>
        <v>0</v>
      </c>
      <c r="AJ1252" s="2">
        <f>AI1252*T1252</f>
        <v>0</v>
      </c>
      <c r="AK1252" s="2">
        <f>T1252-W1252</f>
        <v>23.33</v>
      </c>
      <c r="AL1252" s="5">
        <f>(T1252-W1252)/T1252</f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>(T1253-W1253)/T1253</f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>AJ1253</f>
        <v>0</v>
      </c>
      <c r="AJ1253" s="2">
        <f>AI1253*T1253</f>
        <v>0</v>
      </c>
      <c r="AK1253" s="2">
        <f>T1253-W1253</f>
        <v>30</v>
      </c>
      <c r="AL1253" s="5">
        <f>(T1253-W1253)/T1253</f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>(T1254-W1254)/T1254</f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>AJ1254</f>
        <v>0</v>
      </c>
      <c r="AJ1254" s="2">
        <f>AI1254*T1254</f>
        <v>0</v>
      </c>
      <c r="AK1254" s="2">
        <f>T1254-W1254</f>
        <v>50</v>
      </c>
      <c r="AL1254" s="5">
        <f>(T1254-W1254)/T1254</f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>(T1255-W1255)/T1255</f>
        <v>1</v>
      </c>
      <c r="Z1255" s="2" t="s">
        <v>3231</v>
      </c>
      <c r="AF1255" s="2">
        <f>AJ1255</f>
        <v>0</v>
      </c>
      <c r="AJ1255" s="2">
        <f>AI1255*T1255</f>
        <v>0</v>
      </c>
      <c r="AK1255" s="2">
        <f>T1255-W1255</f>
        <v>370</v>
      </c>
      <c r="AL1255" s="5">
        <f>(T1255-W1255)/T1255</f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>(T1256-W1256)/T1256</f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>AJ1256</f>
        <v>0</v>
      </c>
      <c r="AG1256" s="2">
        <v>2410.69</v>
      </c>
      <c r="AJ1256" s="2">
        <f>AI1256*T1256</f>
        <v>0</v>
      </c>
      <c r="AK1256" s="2">
        <f>T1256-W1256</f>
        <v>3789.31</v>
      </c>
      <c r="AL1256" s="5">
        <f>(T1256-W1256)/T1256</f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>(T1257-W1257)/T1257</f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>AJ1257</f>
        <v>0</v>
      </c>
      <c r="AJ1257" s="2">
        <f>AI1257*T1257</f>
        <v>0</v>
      </c>
      <c r="AK1257" s="2">
        <f>T1257-W1257</f>
        <v>110.39999999999999</v>
      </c>
      <c r="AL1257" s="5">
        <f>(T1257-W1257)/T1257</f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>(T1258-W1258)/T1258</f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>AJ1258</f>
        <v>0</v>
      </c>
      <c r="AJ1258" s="2">
        <f>AI1258*T1258</f>
        <v>0</v>
      </c>
      <c r="AK1258" s="2">
        <f>T1258-W1258</f>
        <v>50</v>
      </c>
      <c r="AL1258" s="5">
        <f>(T1258-W1258)/T1258</f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>AJ1259</f>
        <v>0</v>
      </c>
      <c r="AJ1259" s="2">
        <f>AI1259*T1259</f>
        <v>0</v>
      </c>
      <c r="AK1259" s="2">
        <f>T1259-W1259</f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>AJ1260</f>
        <v>0</v>
      </c>
      <c r="AJ1260" s="2">
        <f>AI1260*T1260</f>
        <v>0</v>
      </c>
      <c r="AK1260" s="2">
        <f>T1260-W1260</f>
        <v>0</v>
      </c>
      <c r="AL1260" s="5" t="e">
        <f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>AJ1261</f>
        <v>0</v>
      </c>
      <c r="AJ1261" s="2">
        <f>AI1261*T1261</f>
        <v>0</v>
      </c>
      <c r="AK1261" s="2">
        <f>T1261-W1261</f>
        <v>3237.37</v>
      </c>
      <c r="AL1261" s="5">
        <f>(T1261-W1261)/T1261</f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>(T1262-W1262)/T1262</f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>AJ1262</f>
        <v>0</v>
      </c>
      <c r="AJ1262" s="2">
        <f>AI1262*T1262</f>
        <v>0</v>
      </c>
      <c r="AK1262" s="2">
        <f>T1262-W1262</f>
        <v>72.599999999999994</v>
      </c>
      <c r="AL1262" s="5">
        <f>(T1262-W1262)/T1262</f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>(T1263-W1263)/T1263</f>
        <v>0.88113207547169814</v>
      </c>
      <c r="Z1263" s="2" t="s">
        <v>3231</v>
      </c>
      <c r="AA1263" s="2" t="s">
        <v>156</v>
      </c>
      <c r="AB1263" s="2" t="s">
        <v>3407</v>
      </c>
      <c r="AC1263" s="2" t="s">
        <v>1329</v>
      </c>
      <c r="AF1263" s="2">
        <f>AJ1263</f>
        <v>0</v>
      </c>
      <c r="AJ1263" s="2">
        <f>AI1263*T1263</f>
        <v>0</v>
      </c>
      <c r="AK1263" s="2">
        <f>T1263-W1263</f>
        <v>46.7</v>
      </c>
      <c r="AL1263" s="5">
        <f>(T1263-W1263)/T1263</f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>(T1264-W1264)/T1264</f>
        <v>0.30000000000000004</v>
      </c>
      <c r="Z1264" s="2" t="s">
        <v>3231</v>
      </c>
      <c r="AA1264" s="2" t="s">
        <v>156</v>
      </c>
      <c r="AB1264" s="2" t="s">
        <v>3407</v>
      </c>
      <c r="AC1264" s="2" t="s">
        <v>1329</v>
      </c>
      <c r="AF1264" s="2">
        <f>AJ1264</f>
        <v>0</v>
      </c>
      <c r="AJ1264" s="2">
        <f>AI1264*T1264</f>
        <v>0</v>
      </c>
      <c r="AK1264" s="2">
        <f>T1264-W1264</f>
        <v>8.1000000000000014</v>
      </c>
      <c r="AL1264" s="5">
        <f>(T1264-W1264)/T1264</f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>(T1265-W1265)/T1265</f>
        <v>0.30000000000000004</v>
      </c>
      <c r="Z1265" s="2" t="s">
        <v>3231</v>
      </c>
      <c r="AA1265" s="2" t="s">
        <v>156</v>
      </c>
      <c r="AB1265" s="2" t="s">
        <v>3407</v>
      </c>
      <c r="AC1265" s="2" t="s">
        <v>1329</v>
      </c>
      <c r="AF1265" s="2">
        <f>AJ1265</f>
        <v>0</v>
      </c>
      <c r="AJ1265" s="2">
        <f>AI1265*T1265</f>
        <v>0</v>
      </c>
      <c r="AK1265" s="2">
        <f>T1265-W1265</f>
        <v>8.1000000000000014</v>
      </c>
      <c r="AL1265" s="5">
        <f>(T1265-W1265)/T1265</f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>(T1266-W1266)/T1266</f>
        <v>0.88336415094339626</v>
      </c>
      <c r="Z1266" s="2" t="s">
        <v>3231</v>
      </c>
      <c r="AA1266" s="2" t="s">
        <v>156</v>
      </c>
      <c r="AB1266" s="2" t="s">
        <v>3407</v>
      </c>
      <c r="AC1266" s="2" t="s">
        <v>1329</v>
      </c>
      <c r="AF1266" s="2">
        <f>AJ1266</f>
        <v>0</v>
      </c>
      <c r="AJ1266" s="2">
        <f>AI1266*T1266</f>
        <v>0</v>
      </c>
      <c r="AK1266" s="2">
        <f>T1266-W1266</f>
        <v>46.818300000000001</v>
      </c>
      <c r="AL1266" s="5">
        <f>(T1266-W1266)/T1266</f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>(T1267-W1267)/T1267</f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>AJ1267</f>
        <v>0</v>
      </c>
      <c r="AG1267" s="2">
        <v>2481</v>
      </c>
      <c r="AJ1267" s="2">
        <f>AI1267*T1267</f>
        <v>0</v>
      </c>
      <c r="AK1267" s="2">
        <f>T1267-W1267</f>
        <v>1109</v>
      </c>
      <c r="AL1267" s="5">
        <f>(T1267-W1267)/T1267</f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>(T1268-W1268)/T1268</f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>AJ1268</f>
        <v>0</v>
      </c>
      <c r="AG1268" s="2">
        <v>2481</v>
      </c>
      <c r="AJ1268" s="2">
        <f>AI1268*T1268</f>
        <v>0</v>
      </c>
      <c r="AK1268" s="2">
        <f>T1268-W1268</f>
        <v>1109</v>
      </c>
      <c r="AL1268" s="5">
        <f>(T1268-W1268)/T1268</f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>(T1269-W1269)/T1269</f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>AJ1269</f>
        <v>0</v>
      </c>
      <c r="AG1269" s="2">
        <v>386</v>
      </c>
      <c r="AJ1269" s="2">
        <f>AI1269*T1269</f>
        <v>0</v>
      </c>
      <c r="AK1269" s="2">
        <f>T1269-W1269</f>
        <v>415.61</v>
      </c>
      <c r="AL1269" s="5">
        <f>(T1269-W1269)/T1269</f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>(T1270-W1270)/T1270</f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>AJ1270</f>
        <v>0</v>
      </c>
      <c r="AJ1270" s="2">
        <f>AI1270*T1270</f>
        <v>0</v>
      </c>
      <c r="AK1270" s="2">
        <f>T1270-W1270</f>
        <v>108.6</v>
      </c>
      <c r="AL1270" s="5">
        <f>(T1270-W1270)/T1270</f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>(T1271-W1271)/T1271</f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>AJ1271</f>
        <v>0</v>
      </c>
      <c r="AJ1271" s="2">
        <f>AI1271*T1271</f>
        <v>0</v>
      </c>
      <c r="AK1271" s="2">
        <f>T1271-W1271</f>
        <v>50</v>
      </c>
      <c r="AL1271" s="5">
        <f>(T1271-W1271)/T1271</f>
        <v>0.5</v>
      </c>
    </row>
    <row r="1272" spans="1:38" x14ac:dyDescent="0.2">
      <c r="A1272" s="2">
        <v>2025</v>
      </c>
      <c r="B1272" s="2">
        <v>7</v>
      </c>
      <c r="C1272" s="2" t="s">
        <v>3428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>(T1272-W1272)/T1272</f>
        <v>1</v>
      </c>
      <c r="Z1272" s="2" t="s">
        <v>118</v>
      </c>
      <c r="AF1272" s="2">
        <f>AJ1272</f>
        <v>0</v>
      </c>
      <c r="AJ1272" s="2">
        <f>AI1272*T1272</f>
        <v>0</v>
      </c>
      <c r="AK1272" s="2">
        <f>T1272-W1272</f>
        <v>14.95</v>
      </c>
      <c r="AL1272" s="5">
        <f>(T1272-W1272)/T1272</f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>(T1273-W1273)/T1273</f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>AJ1273</f>
        <v>0</v>
      </c>
      <c r="AJ1273" s="2">
        <f>AI1273*T1273</f>
        <v>0</v>
      </c>
      <c r="AK1273" s="2">
        <f>T1273-W1273</f>
        <v>525.22</v>
      </c>
      <c r="AL1273" s="5">
        <f>(T1273-W1273)/T1273</f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>(T1274-W1274)/T1274</f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>AJ1274</f>
        <v>0</v>
      </c>
      <c r="AJ1274" s="2">
        <f>AI1274*T1274</f>
        <v>0</v>
      </c>
      <c r="AK1274" s="2">
        <f>T1274-W1274</f>
        <v>30</v>
      </c>
      <c r="AL1274" s="5">
        <f>(T1274-W1274)/T1274</f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>(T1275-W1275)/T1275</f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>AJ1275</f>
        <v>0</v>
      </c>
      <c r="AJ1275" s="2">
        <f>AI1275*T1275</f>
        <v>0</v>
      </c>
      <c r="AK1275" s="2">
        <f>T1275-W1275</f>
        <v>25</v>
      </c>
      <c r="AL1275" s="5">
        <f>(T1275-W1275)/T1275</f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>(T1276-W1276)/T1276</f>
        <v>1</v>
      </c>
      <c r="Z1276" s="2" t="s">
        <v>120</v>
      </c>
      <c r="AA1276" s="2" t="s">
        <v>3384</v>
      </c>
      <c r="AF1276" s="2">
        <f>AJ1276</f>
        <v>0</v>
      </c>
      <c r="AJ1276" s="2">
        <f>AI1276*T1276</f>
        <v>0</v>
      </c>
      <c r="AK1276" s="2">
        <f>T1276-W1276</f>
        <v>525.28</v>
      </c>
      <c r="AL1276" s="5">
        <f>(T1276-W1276)/T1276</f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>(T1277-W1277)/T1277</f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>AJ1277</f>
        <v>0</v>
      </c>
      <c r="AJ1277" s="2">
        <f>AI1277*T1277</f>
        <v>0</v>
      </c>
      <c r="AK1277" s="2">
        <f>T1277-W1277</f>
        <v>46.400000000000006</v>
      </c>
      <c r="AL1277" s="5">
        <f>(T1277-W1277)/T1277</f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>(T1278-W1278)/T1278</f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>AJ1278</f>
        <v>0</v>
      </c>
      <c r="AJ1278" s="2">
        <f>AI1278*T1278</f>
        <v>0</v>
      </c>
      <c r="AK1278" s="2">
        <f>T1278-W1278</f>
        <v>92.800000000000011</v>
      </c>
      <c r="AL1278" s="5">
        <f>(T1278-W1278)/T1278</f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>AJ1279</f>
        <v>0</v>
      </c>
      <c r="AJ1279" s="2">
        <f>AI1279*T1279</f>
        <v>0</v>
      </c>
      <c r="AK1279" s="2">
        <f>T1279-W1279</f>
        <v>0</v>
      </c>
      <c r="AL1279" s="20" t="s">
        <v>3405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>AJ1280</f>
        <v>0</v>
      </c>
      <c r="AJ1280" s="2">
        <f>AI1280*T1280</f>
        <v>0</v>
      </c>
      <c r="AK1280" s="2">
        <f>T1280-W1280</f>
        <v>232</v>
      </c>
      <c r="AL1280" s="5">
        <f>(T1280-W1280)/T1280</f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>(T1281-W1281)/T1281</f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>AJ1281</f>
        <v>0</v>
      </c>
      <c r="AJ1281" s="2">
        <f>AI1281*T1281</f>
        <v>0</v>
      </c>
      <c r="AK1281" s="2">
        <f>T1281-W1281</f>
        <v>232</v>
      </c>
      <c r="AL1281" s="5">
        <f>(T1281-W1281)/T1281</f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>(T1282-W1282)/T1282</f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>AJ1282</f>
        <v>0</v>
      </c>
      <c r="AG1282" s="2">
        <v>117.453</v>
      </c>
      <c r="AH1282" s="2">
        <v>220</v>
      </c>
      <c r="AJ1282" s="2">
        <f>AI1282*T1282</f>
        <v>0</v>
      </c>
      <c r="AK1282" s="2">
        <f>T1282-W1282</f>
        <v>102.547</v>
      </c>
      <c r="AL1282" s="5">
        <f>(T1282-W1282)/T1282</f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>(T1283-W1283)/T1283</f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>AJ1283</f>
        <v>0</v>
      </c>
      <c r="AG1283" s="2">
        <v>1.1399999999999999</v>
      </c>
      <c r="AH1283" s="2">
        <v>1.1399999999999999</v>
      </c>
      <c r="AJ1283" s="2">
        <f>AI1283*T1283</f>
        <v>0</v>
      </c>
      <c r="AK1283" s="2">
        <f>T1283-W1283</f>
        <v>0</v>
      </c>
      <c r="AL1283" s="5">
        <f>(T1283-W1283)/T1283</f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>(T1284-W1284)/T1284</f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>AJ1284</f>
        <v>0</v>
      </c>
      <c r="AJ1284" s="2">
        <f>AI1284*T1284</f>
        <v>0</v>
      </c>
      <c r="AK1284" s="2">
        <f>T1284-W1284</f>
        <v>102.6</v>
      </c>
      <c r="AL1284" s="5">
        <f>(T1284-W1284)/T1284</f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>(T1285-W1285)/T1285</f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>AJ1285</f>
        <v>0</v>
      </c>
      <c r="AJ1285" s="2">
        <f>AI1285*T1285</f>
        <v>0</v>
      </c>
      <c r="AK1285" s="2">
        <f>T1285-W1285</f>
        <v>25</v>
      </c>
      <c r="AL1285" s="5">
        <f>(T1285-W1285)/T1285</f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>(T1286-W1286)/T1286</f>
        <v>1</v>
      </c>
      <c r="Z1286" s="2" t="s">
        <v>120</v>
      </c>
      <c r="AA1286" s="2" t="s">
        <v>3384</v>
      </c>
      <c r="AF1286" s="2">
        <f>AJ1286</f>
        <v>0</v>
      </c>
      <c r="AJ1286" s="2">
        <f>AI1286*T1286</f>
        <v>0</v>
      </c>
      <c r="AK1286" s="2">
        <f>T1286-W1286</f>
        <v>200.03</v>
      </c>
      <c r="AL1286" s="5">
        <f>(T1286-W1286)/T1286</f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>(T1287-W1287)/T1287</f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>AJ1287</f>
        <v>0</v>
      </c>
      <c r="AG1287" s="2">
        <v>246.77</v>
      </c>
      <c r="AJ1287" s="2">
        <f>AI1287*T1287</f>
        <v>0</v>
      </c>
      <c r="AK1287" s="2">
        <f>T1287-W1287</f>
        <v>271.52</v>
      </c>
      <c r="AL1287" s="5">
        <f>(T1287-W1287)/T1287</f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>(T1288-W1288)/T1288</f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>AJ1288</f>
        <v>0</v>
      </c>
      <c r="AJ1288" s="2">
        <f>AI1288*T1288</f>
        <v>0</v>
      </c>
      <c r="AK1288" s="2">
        <f>T1288-W1288</f>
        <v>60</v>
      </c>
      <c r="AL1288" s="5">
        <f>(T1288-W1288)/T1288</f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>(T1289-W1289)/T1289</f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>AJ1289</f>
        <v>0</v>
      </c>
      <c r="AJ1289" s="2">
        <f>AI1289*T1289</f>
        <v>0</v>
      </c>
      <c r="AK1289" s="2">
        <f>T1289-W1289</f>
        <v>150</v>
      </c>
      <c r="AL1289" s="5">
        <f>(T1289-W1289)/T1289</f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>(T1290-W1290)/T1290</f>
        <v>1</v>
      </c>
      <c r="Z1290" s="2" t="s">
        <v>118</v>
      </c>
      <c r="AA1290" s="2" t="s">
        <v>119</v>
      </c>
      <c r="AB1290" s="2" t="s">
        <v>120</v>
      </c>
      <c r="AF1290" s="2">
        <f>AJ1290</f>
        <v>0</v>
      </c>
      <c r="AJ1290" s="2">
        <f>AI1290*T1290</f>
        <v>0</v>
      </c>
      <c r="AK1290" s="2">
        <f>T1290-W1290</f>
        <v>267.18</v>
      </c>
      <c r="AL1290" s="5">
        <f>(T1290-W1290)/T1290</f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>(T1291-W1291)/T1291</f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>AJ1291</f>
        <v>0</v>
      </c>
      <c r="AJ1291" s="2">
        <f>AI1291*T1291</f>
        <v>0</v>
      </c>
      <c r="AK1291" s="2">
        <f>T1291-W1291</f>
        <v>44.4</v>
      </c>
      <c r="AL1291" s="5">
        <f>(T1291-W1291)/T1291</f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>(T1292-W1292)/T1292</f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>AJ1292</f>
        <v>0</v>
      </c>
      <c r="AJ1292" s="2">
        <f>AI1292*T1292</f>
        <v>0</v>
      </c>
      <c r="AK1292" s="2">
        <f>T1292-W1292</f>
        <v>175</v>
      </c>
      <c r="AL1292" s="5">
        <f>(T1292-W1292)/T1292</f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>(T1293-W1293)/T1293</f>
        <v>1</v>
      </c>
      <c r="Z1293" s="2" t="s">
        <v>120</v>
      </c>
      <c r="AA1293" s="2" t="s">
        <v>3384</v>
      </c>
      <c r="AF1293" s="2">
        <f>AJ1293</f>
        <v>0</v>
      </c>
      <c r="AJ1293" s="2">
        <f>AI1293*T1293</f>
        <v>0</v>
      </c>
      <c r="AK1293" s="2">
        <f>T1293-W1293</f>
        <v>630</v>
      </c>
      <c r="AL1293" s="5">
        <f>(T1293-W1293)/T1293</f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>(T1294-W1294)/T1294</f>
        <v>1</v>
      </c>
      <c r="Z1294" s="2" t="s">
        <v>118</v>
      </c>
      <c r="AF1294" s="2">
        <f>AJ1294</f>
        <v>0</v>
      </c>
      <c r="AJ1294" s="2">
        <f>AI1294*T1294</f>
        <v>0</v>
      </c>
      <c r="AK1294" s="2">
        <f>T1294-W1294</f>
        <v>273.13</v>
      </c>
      <c r="AL1294" s="5">
        <f>(T1294-W1294)/T1294</f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>(T1295-W1295)/T1295</f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>AJ1295</f>
        <v>0</v>
      </c>
      <c r="AG1295" s="2">
        <v>9.3000000000000007</v>
      </c>
      <c r="AH1295" s="2">
        <v>21</v>
      </c>
      <c r="AJ1295" s="2">
        <f>AI1295*T1295</f>
        <v>0</v>
      </c>
      <c r="AK1295" s="2">
        <f>T1295-W1295</f>
        <v>39.599999999999994</v>
      </c>
      <c r="AL1295" s="5">
        <f>(T1295-W1295)/T1295</f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>(T1296-W1296)/T1296</f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>AJ1296</f>
        <v>0</v>
      </c>
      <c r="AG1296" s="2">
        <v>3.7357999999999998</v>
      </c>
      <c r="AH1296" s="2">
        <v>9</v>
      </c>
      <c r="AJ1296" s="2">
        <f>AI1296*T1296</f>
        <v>0</v>
      </c>
      <c r="AK1296" s="2">
        <f>T1296-W1296</f>
        <v>18.656800000000004</v>
      </c>
      <c r="AL1296" s="5">
        <f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>(T1297-W1297)/T1297</f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>AJ1297</f>
        <v>0</v>
      </c>
      <c r="AG1297" s="2">
        <v>10.6</v>
      </c>
      <c r="AH1297" s="2">
        <v>18</v>
      </c>
      <c r="AJ1297" s="2">
        <f>AI1297*T1297</f>
        <v>0</v>
      </c>
      <c r="AK1297" s="2">
        <f>T1297-W1297</f>
        <v>7.4</v>
      </c>
      <c r="AL1297" s="5">
        <f>(T1297-W1297)/T1297</f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>(T1298-W1298)/T1298</f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>AJ1298</f>
        <v>0</v>
      </c>
      <c r="AG1298" s="2">
        <v>8.1999999999999993</v>
      </c>
      <c r="AH1298" s="2">
        <v>13</v>
      </c>
      <c r="AJ1298" s="2">
        <f>AI1298*T1298</f>
        <v>0</v>
      </c>
      <c r="AK1298" s="2">
        <f>T1298-W1298</f>
        <v>4.7999999999999989</v>
      </c>
      <c r="AL1298" s="5">
        <f>(T1298-W1298)/T1298</f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>(T1299-W1299)/T1299</f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>AJ1299</f>
        <v>0</v>
      </c>
      <c r="AJ1299" s="2">
        <f>AI1299*T1299</f>
        <v>0</v>
      </c>
      <c r="AK1299" s="2">
        <f>T1299-W1299</f>
        <v>44.4</v>
      </c>
      <c r="AL1299" s="5">
        <f>(T1299-W1299)/T1299</f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>(T1300-W1300)/T1300</f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>AJ1300</f>
        <v>0</v>
      </c>
      <c r="AJ1300" s="2">
        <f>AI1300*T1300</f>
        <v>0</v>
      </c>
      <c r="AK1300" s="2">
        <f>T1300-W1300</f>
        <v>50</v>
      </c>
      <c r="AL1300" s="5">
        <f>(T1300-W1300)/T1300</f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>(T1301-W1301)/T1301</f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>AJ1301</f>
        <v>0</v>
      </c>
      <c r="AG1301" s="2">
        <v>117.453</v>
      </c>
      <c r="AH1301" s="2">
        <v>220</v>
      </c>
      <c r="AJ1301" s="2">
        <f>AI1301*T1301</f>
        <v>0</v>
      </c>
      <c r="AK1301" s="2">
        <f>T1301-W1301</f>
        <v>205.09399999999999</v>
      </c>
      <c r="AL1301" s="5">
        <f>(T1301-W1301)/T1301</f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>(T1302-W1302)/T1302</f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>AJ1302</f>
        <v>0</v>
      </c>
      <c r="AJ1302" s="2">
        <f>AI1302*T1302</f>
        <v>0</v>
      </c>
      <c r="AK1302" s="2">
        <f>T1302-W1302</f>
        <v>0</v>
      </c>
      <c r="AL1302" s="5">
        <f>(T1302-W1302)/T1302</f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>(T1303-W1303)/T1303</f>
        <v>1</v>
      </c>
      <c r="Z1303" s="2" t="s">
        <v>118</v>
      </c>
      <c r="AF1303" s="2">
        <f>AJ1303</f>
        <v>0</v>
      </c>
      <c r="AJ1303" s="2">
        <f>AI1303*T1303</f>
        <v>0</v>
      </c>
      <c r="AK1303" s="2">
        <f>T1303-W1303</f>
        <v>172.63</v>
      </c>
      <c r="AL1303" s="5">
        <f>(T1303-W1303)/T1303</f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>(T1304-W1304)/T1304</f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>AJ1304</f>
        <v>0</v>
      </c>
      <c r="AJ1304" s="2">
        <f>AI1304*T1304</f>
        <v>0</v>
      </c>
      <c r="AK1304" s="2">
        <f>T1304-W1304</f>
        <v>60</v>
      </c>
      <c r="AL1304" s="5">
        <f>(T1304-W1304)/T1304</f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>(T1305-W1305)/T1305</f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>AJ1305</f>
        <v>0</v>
      </c>
      <c r="AJ1305" s="2">
        <f>AI1305*T1305</f>
        <v>0</v>
      </c>
      <c r="AK1305" s="2">
        <f>T1305-W1305</f>
        <v>62.5</v>
      </c>
      <c r="AL1305" s="5">
        <f>(T1305-W1305)/T1305</f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>(T1306-W1306)/T1306</f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>AJ1306</f>
        <v>0</v>
      </c>
      <c r="AG1306" s="2">
        <v>122.446</v>
      </c>
      <c r="AH1306" s="2">
        <v>230</v>
      </c>
      <c r="AJ1306" s="2">
        <f>AI1306*T1306</f>
        <v>0</v>
      </c>
      <c r="AK1306" s="2">
        <f>T1306-W1306</f>
        <v>107.554</v>
      </c>
      <c r="AL1306" s="5">
        <f>(T1306-W1306)/T1306</f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>(T1307-W1307)/T1307</f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>AJ1307</f>
        <v>0</v>
      </c>
      <c r="AJ1307" s="2">
        <f>AI1307*T1307</f>
        <v>0</v>
      </c>
      <c r="AK1307" s="2">
        <f>T1307-W1307</f>
        <v>0</v>
      </c>
      <c r="AL1307" s="5">
        <f>(T1307-W1307)/T1307</f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>(T1308-W1308)/T1308</f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>AJ1308</f>
        <v>0</v>
      </c>
      <c r="AG1308" s="2">
        <v>26.77</v>
      </c>
      <c r="AH1308" s="2">
        <v>57.86</v>
      </c>
      <c r="AJ1308" s="2">
        <f>AI1308*T1308</f>
        <v>0</v>
      </c>
      <c r="AK1308" s="2">
        <f>T1308-W1308</f>
        <v>31.09</v>
      </c>
      <c r="AL1308" s="5">
        <f>(T1308-W1308)/T1308</f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>(T1309-W1309)/T1309</f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>AJ1309</f>
        <v>0</v>
      </c>
      <c r="AJ1309" s="2">
        <f>AI1309*T1309</f>
        <v>0</v>
      </c>
      <c r="AK1309" s="2">
        <f>T1309-W1309</f>
        <v>84.844999999999999</v>
      </c>
      <c r="AL1309" s="5">
        <f>(T1309-W1309)/T1309</f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>(T1310-W1310)/T1310</f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>AJ1310</f>
        <v>0</v>
      </c>
      <c r="AG1310" s="2">
        <v>1.1399999999999999</v>
      </c>
      <c r="AH1310" s="2">
        <v>1.1399999999999999</v>
      </c>
      <c r="AJ1310" s="2">
        <f>AI1310*T1310</f>
        <v>0</v>
      </c>
      <c r="AK1310" s="2">
        <f>T1310-W1310</f>
        <v>0</v>
      </c>
      <c r="AL1310" s="5">
        <f>(T1310-W1310)/T1310</f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>(T1311-W1311)/T1311</f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>AJ1311</f>
        <v>0</v>
      </c>
      <c r="AJ1311" s="2">
        <f>AI1311*T1311</f>
        <v>0</v>
      </c>
      <c r="AK1311" s="2">
        <f>T1311-W1311</f>
        <v>33</v>
      </c>
      <c r="AL1311" s="5">
        <f>(T1311-W1311)/T1311</f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>AJ1312</f>
        <v>0</v>
      </c>
      <c r="AJ1312" s="2">
        <f>AI1312*T1312</f>
        <v>0</v>
      </c>
      <c r="AK1312" s="2">
        <f>T1312-W1312</f>
        <v>37.5</v>
      </c>
      <c r="AL1312" s="5">
        <f>(T1312-W1312)/T1312</f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>(T1313-W1313)/T1313</f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>AJ1313</f>
        <v>0</v>
      </c>
      <c r="AG1313" s="2">
        <v>131.93</v>
      </c>
      <c r="AH1313" s="2">
        <v>220</v>
      </c>
      <c r="AJ1313" s="2">
        <f>AI1313*T1313</f>
        <v>0</v>
      </c>
      <c r="AK1313" s="2">
        <f>T1313-W1313</f>
        <v>78.069999999999993</v>
      </c>
      <c r="AL1313" s="5">
        <f>(T1313-W1313)/T1313</f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>(T1314-W1314)/T1314</f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>AJ1314</f>
        <v>0</v>
      </c>
      <c r="AJ1314" s="2">
        <f>AI1314*T1314</f>
        <v>0</v>
      </c>
      <c r="AK1314" s="2">
        <f>T1314-W1314</f>
        <v>0</v>
      </c>
      <c r="AL1314" s="5">
        <f>(T1314-W1314)/T1314</f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>(T1315-W1315)/T1315</f>
        <v>1</v>
      </c>
      <c r="Z1315" s="2" t="s">
        <v>118</v>
      </c>
      <c r="AF1315" s="2">
        <f>AJ1315</f>
        <v>0</v>
      </c>
      <c r="AJ1315" s="2">
        <f>AI1315*T1315</f>
        <v>0</v>
      </c>
      <c r="AK1315" s="2">
        <f>T1315-W1315</f>
        <v>71.819999999999993</v>
      </c>
      <c r="AL1315" s="5">
        <f>(T1315-W1315)/T1315</f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>(T1316-W1316)/T1316</f>
        <v>1</v>
      </c>
      <c r="Z1316" s="2" t="s">
        <v>118</v>
      </c>
      <c r="AF1316" s="2">
        <f>AJ1316</f>
        <v>0</v>
      </c>
      <c r="AJ1316" s="2">
        <f>AI1316*T1316</f>
        <v>0</v>
      </c>
      <c r="AK1316" s="2">
        <f>T1316-W1316</f>
        <v>12.81</v>
      </c>
      <c r="AL1316" s="5">
        <f>(T1316-W1316)/T1316</f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>(T1317-W1317)/T1317</f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>AJ1317</f>
        <v>0</v>
      </c>
      <c r="AG1317" s="2">
        <v>117.453</v>
      </c>
      <c r="AH1317" s="2">
        <v>220</v>
      </c>
      <c r="AJ1317" s="2">
        <f>AI1317*T1317</f>
        <v>0</v>
      </c>
      <c r="AK1317" s="2">
        <f>T1317-W1317</f>
        <v>92.546999999999997</v>
      </c>
      <c r="AL1317" s="5">
        <f>(T1317-W1317)/T1317</f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>(T1318-W1318)/T1318</f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>AJ1318</f>
        <v>0</v>
      </c>
      <c r="AJ1318" s="2">
        <f>AI1318*T1318</f>
        <v>0</v>
      </c>
      <c r="AK1318" s="2">
        <f>T1318-W1318</f>
        <v>98.55</v>
      </c>
      <c r="AL1318" s="5">
        <f>(T1318-W1318)/T1318</f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>(T1319-W1319)/T1319</f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>AJ1319</f>
        <v>0</v>
      </c>
      <c r="AJ1319" s="2">
        <f>AI1319*T1319</f>
        <v>0</v>
      </c>
      <c r="AK1319" s="2">
        <f>T1319-W1319</f>
        <v>22.5</v>
      </c>
      <c r="AL1319" s="5">
        <f>(T1319-W1319)/T1319</f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>(T1320-W1320)/T1320</f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>AJ1320</f>
        <v>0</v>
      </c>
      <c r="AJ1320" s="2">
        <f>AI1320*T1320</f>
        <v>0</v>
      </c>
      <c r="AK1320" s="2">
        <f>T1320-W1320</f>
        <v>0</v>
      </c>
      <c r="AL1320" s="5">
        <f>(T1320-W1320)/T1320</f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>(T1321-W1321)/T1321</f>
        <v>1</v>
      </c>
      <c r="Z1321" s="2" t="s">
        <v>118</v>
      </c>
      <c r="AF1321" s="2">
        <f>AJ1321</f>
        <v>0</v>
      </c>
      <c r="AJ1321" s="2">
        <f>AI1321*T1321</f>
        <v>0</v>
      </c>
      <c r="AK1321" s="2">
        <f>T1321-W1321</f>
        <v>1993.35</v>
      </c>
      <c r="AL1321" s="5">
        <f>(T1321-W1321)/T1321</f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>(T1322-W1322)/T1322</f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>AJ1322</f>
        <v>0</v>
      </c>
      <c r="AJ1322" s="2">
        <f>AI1322*T1322</f>
        <v>0</v>
      </c>
      <c r="AK1322" s="2">
        <f>T1322-W1322</f>
        <v>61.199999999999996</v>
      </c>
      <c r="AL1322" s="5">
        <f>(T1322-W1322)/T1322</f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>(T1323-W1323)/T1323</f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>AJ1323</f>
        <v>0</v>
      </c>
      <c r="AJ1323" s="2">
        <f>AI1323*T1323</f>
        <v>0</v>
      </c>
      <c r="AK1323" s="2">
        <f>T1323-W1323</f>
        <v>75</v>
      </c>
      <c r="AL1323" s="5">
        <f>(T1323-W1323)/T1323</f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>AJ1324</f>
        <v>0</v>
      </c>
      <c r="AJ1324" s="2">
        <f>AI1324*T1324</f>
        <v>0</v>
      </c>
    </row>
    <row r="1325" spans="1:38" x14ac:dyDescent="0.2">
      <c r="A1325" s="2">
        <v>2025</v>
      </c>
      <c r="B1325" s="2">
        <v>7</v>
      </c>
      <c r="C1325" s="2" t="s">
        <v>3403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>AJ1325</f>
        <v>0</v>
      </c>
      <c r="AJ1325" s="2">
        <f>AI1325*T1325</f>
        <v>0</v>
      </c>
      <c r="AK1325" s="2">
        <f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3403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>AJ1326</f>
        <v>0</v>
      </c>
      <c r="AJ1326" s="2">
        <f>AI1326*T1326</f>
        <v>0</v>
      </c>
      <c r="AK1326" s="2">
        <f>T1326-W1326</f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>AJ1327</f>
        <v>0</v>
      </c>
      <c r="AJ1327" s="2">
        <f>AI1327*T1327</f>
        <v>0</v>
      </c>
      <c r="AK1327" s="2">
        <f>T1327-W1327</f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>AJ1328</f>
        <v>0</v>
      </c>
      <c r="AJ1328" s="2">
        <f>AI1328*T1328</f>
        <v>0</v>
      </c>
      <c r="AK1328" s="2">
        <f>T1328-W1328</f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>AJ1329</f>
        <v>0</v>
      </c>
      <c r="AJ1329" s="2">
        <f>AI1329*T1329</f>
        <v>0</v>
      </c>
      <c r="AK1329" s="2">
        <f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>AJ1330</f>
        <v>0</v>
      </c>
      <c r="AJ1330" s="2">
        <f>AI1330*T1330</f>
        <v>0</v>
      </c>
      <c r="AK1330" s="2">
        <f>T1330-W1330</f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>AJ1331</f>
        <v>0</v>
      </c>
      <c r="AG1331" s="2">
        <f>1294+95</f>
        <v>1389</v>
      </c>
      <c r="AJ1331" s="2">
        <f>AI1331*T1331</f>
        <v>0</v>
      </c>
      <c r="AK1331" s="2">
        <f>T1331-W1331</f>
        <v>111</v>
      </c>
      <c r="AL1331" s="5">
        <f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>AJ1332</f>
        <v>0</v>
      </c>
      <c r="AJ1332" s="2">
        <f>AI1332*T1332</f>
        <v>0</v>
      </c>
      <c r="AK1332" s="2">
        <f>T1332-W1332</f>
        <v>0</v>
      </c>
      <c r="AL1332" s="5" t="e">
        <f>(T1332-W1332)/T1332</f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>AJ1333</f>
        <v>0</v>
      </c>
      <c r="AJ1333" s="2">
        <f>AI1333*T1333</f>
        <v>0</v>
      </c>
      <c r="AK1333" s="2">
        <f>T1333-W1333</f>
        <v>800</v>
      </c>
      <c r="AL1333" s="5">
        <f>(T1333-W1333)/T1333</f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>AJ1334</f>
        <v>0</v>
      </c>
      <c r="AJ1334" s="2">
        <f>AI1334*T1334</f>
        <v>0</v>
      </c>
      <c r="AK1334" s="2">
        <f>T1334-W1334</f>
        <v>108.5</v>
      </c>
      <c r="AL1334" s="5">
        <f>(T1334-W1334)/T1334</f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>AJ1335</f>
        <v>0</v>
      </c>
      <c r="AJ1335" s="2">
        <f>AI1335*T1335</f>
        <v>0</v>
      </c>
      <c r="AK1335" s="2">
        <f>T1335-W1335</f>
        <v>0</v>
      </c>
      <c r="AL1335" s="5" t="e">
        <f>(T1335-W1335)/T1335</f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>(T1336-W1336)/T1336</f>
        <v>1</v>
      </c>
      <c r="AF1336" s="2">
        <f>AJ1336</f>
        <v>0</v>
      </c>
      <c r="AJ1336" s="2">
        <f>AI1336*T1336</f>
        <v>0</v>
      </c>
      <c r="AK1336" s="2">
        <f>T1336-W1336</f>
        <v>40.75</v>
      </c>
      <c r="AL1336" s="5">
        <f>(T1336-W1336)/T1336</f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>(T1337-W1337)/T1337</f>
        <v>1</v>
      </c>
      <c r="Z1337" s="2" t="s">
        <v>170</v>
      </c>
      <c r="AA1337" s="2" t="s">
        <v>170</v>
      </c>
      <c r="AF1337" s="2">
        <f>AJ1337</f>
        <v>0</v>
      </c>
      <c r="AJ1337" s="2">
        <f>AI1337*T1337</f>
        <v>0</v>
      </c>
      <c r="AK1337" s="2">
        <f>T1337-W1337</f>
        <v>5</v>
      </c>
      <c r="AL1337" s="5">
        <f>(T1337-W1337)/T1337</f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>(T1338-W1338)/T1338</f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>AJ1338</f>
        <v>0</v>
      </c>
      <c r="AG1338" s="2">
        <f>4893.23+171</f>
        <v>5064.2299999999996</v>
      </c>
      <c r="AJ1338" s="2">
        <f>AI1338*T1338</f>
        <v>0</v>
      </c>
      <c r="AK1338" s="2">
        <f>T1338-W1338</f>
        <v>2435.7700000000004</v>
      </c>
      <c r="AL1338" s="5">
        <f>(T1338-W1338)/T1338</f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>(T1339-W1339)/T1339</f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>AJ1339</f>
        <v>0</v>
      </c>
      <c r="AJ1339" s="2">
        <f>AI1339*T1339</f>
        <v>0</v>
      </c>
      <c r="AK1339" s="2">
        <f>T1339-W1339</f>
        <v>30</v>
      </c>
      <c r="AL1339" s="5">
        <f>(T1339-W1339)/T1339</f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>(T1340-W1340)/T1340</f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>AJ1340</f>
        <v>0</v>
      </c>
      <c r="AJ1340" s="2">
        <f>AI1340*T1340</f>
        <v>0</v>
      </c>
      <c r="AK1340" s="2">
        <f>T1340-W1340</f>
        <v>25</v>
      </c>
      <c r="AL1340" s="5">
        <f>(T1340-W1340)/T1340</f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>(T1341-W1341)/T1341</f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>AJ1341</f>
        <v>0</v>
      </c>
      <c r="AG1341" s="2">
        <v>6.6266999999999996</v>
      </c>
      <c r="AH1341" s="2">
        <v>12</v>
      </c>
      <c r="AJ1341" s="2">
        <f>AI1341*T1341</f>
        <v>0</v>
      </c>
      <c r="AK1341" s="2">
        <f>T1341-W1341</f>
        <v>5.3733000000000004</v>
      </c>
      <c r="AL1341" s="5">
        <f>(T1341-W1341)/T1341</f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>(T1342-W1342)/T1342</f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>AJ1342</f>
        <v>0</v>
      </c>
      <c r="AG1342" s="2">
        <v>7.9611999999999998</v>
      </c>
      <c r="AH1342" s="2">
        <v>14.4</v>
      </c>
      <c r="AJ1342" s="2">
        <f>AI1342*T1342</f>
        <v>0</v>
      </c>
      <c r="AK1342" s="2">
        <f>T1342-W1342</f>
        <v>7.0388000000000002</v>
      </c>
      <c r="AL1342" s="5">
        <f>(T1342-W1342)/T1342</f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>(T1343-W1343)/T1343</f>
        <v>1</v>
      </c>
      <c r="Z1343" s="2" t="s">
        <v>170</v>
      </c>
      <c r="AA1343" s="2" t="s">
        <v>170</v>
      </c>
      <c r="AF1343" s="2">
        <f>AJ1343</f>
        <v>0</v>
      </c>
      <c r="AJ1343" s="2">
        <f>AI1343*T1343</f>
        <v>0</v>
      </c>
      <c r="AK1343" s="2">
        <f>T1343-W1343</f>
        <v>8.5</v>
      </c>
      <c r="AL1343" s="5">
        <f>(T1343-W1343)/T1343</f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>(T1344-W1344)/T1344</f>
        <v>1</v>
      </c>
      <c r="Z1344" s="2" t="s">
        <v>120</v>
      </c>
      <c r="AA1344" s="2" t="s">
        <v>493</v>
      </c>
      <c r="AF1344" s="2">
        <f>AJ1344</f>
        <v>0</v>
      </c>
      <c r="AJ1344" s="2">
        <f>AI1344*T1344</f>
        <v>0</v>
      </c>
      <c r="AK1344" s="2">
        <f>T1344-W1344</f>
        <v>664.04</v>
      </c>
      <c r="AL1344" s="5">
        <f>(T1344-W1344)/T1344</f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>(T1345-W1345)/T1345</f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>AJ1345</f>
        <v>0</v>
      </c>
      <c r="AJ1345" s="2">
        <f>AI1345*T1345</f>
        <v>0</v>
      </c>
      <c r="AK1345" s="2">
        <f>T1345-W1345</f>
        <v>56.639999999999986</v>
      </c>
      <c r="AL1345" s="5">
        <f>(T1345-W1345)/T1345</f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>(T1346-W1346)/T1346</f>
        <v>1</v>
      </c>
      <c r="Z1346" s="2" t="s">
        <v>120</v>
      </c>
      <c r="AA1346" s="2" t="s">
        <v>3384</v>
      </c>
      <c r="AF1346" s="2">
        <f>AJ1346</f>
        <v>0</v>
      </c>
      <c r="AJ1346" s="2">
        <f>AI1346*T1346</f>
        <v>0</v>
      </c>
      <c r="AK1346" s="2">
        <f>T1346-W1346</f>
        <v>132</v>
      </c>
      <c r="AL1346" s="5">
        <f>(T1346-W1346)/T1346</f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>(T1347-W1347)/T1347</f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>AJ1347</f>
        <v>0</v>
      </c>
      <c r="AJ1347" s="2">
        <f>AI1347*T1347</f>
        <v>0</v>
      </c>
      <c r="AK1347" s="2">
        <f>T1347-W1347</f>
        <v>94.844999999999999</v>
      </c>
      <c r="AL1347" s="5">
        <f>(T1347-W1347)/T1347</f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>(T1348-W1348)/T1348</f>
        <v>0.08</v>
      </c>
      <c r="Z1348" s="2" t="s">
        <v>170</v>
      </c>
      <c r="AA1348" s="2" t="s">
        <v>170</v>
      </c>
      <c r="AF1348" s="2">
        <f>AJ1348</f>
        <v>0</v>
      </c>
      <c r="AJ1348" s="2">
        <f>AI1348*T1348</f>
        <v>0</v>
      </c>
      <c r="AK1348" s="2">
        <f>T1348-W1348</f>
        <v>2</v>
      </c>
      <c r="AL1348" s="5">
        <f>(T1348-W1348)/T1348</f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>(T1349-W1349)/T1349</f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>AJ1349</f>
        <v>0</v>
      </c>
      <c r="AJ1349" s="2">
        <f>AI1349*T1349</f>
        <v>0</v>
      </c>
      <c r="AK1349" s="2">
        <f>T1349-W1349</f>
        <v>0</v>
      </c>
      <c r="AL1349" s="5">
        <f>(T1349-W1349)/T1349</f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>(T1350-W1350)/T1350</f>
        <v>1</v>
      </c>
      <c r="Z1350" s="2" t="s">
        <v>118</v>
      </c>
      <c r="AF1350" s="2">
        <f>AJ1350</f>
        <v>0</v>
      </c>
      <c r="AJ1350" s="2">
        <f>AI1350*T1350</f>
        <v>0</v>
      </c>
      <c r="AK1350" s="2">
        <f>T1350-W1350</f>
        <v>57.67</v>
      </c>
      <c r="AL1350" s="5">
        <f>(T1350-W1350)/T1350</f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>AJ1351</f>
        <v>0</v>
      </c>
      <c r="AJ1351" s="2">
        <f>AI1351*T1351</f>
        <v>0</v>
      </c>
      <c r="AK1351" s="2">
        <f>T1351-W1351</f>
        <v>0</v>
      </c>
      <c r="AL1351" s="5" t="e">
        <f>(T1351-W1351)/T1351</f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>(T1352-W1352)/T1352</f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>AJ1352</f>
        <v>0</v>
      </c>
      <c r="AJ1352" s="2">
        <f>AI1352*T1352</f>
        <v>0</v>
      </c>
      <c r="AK1352" s="2">
        <f>T1352-W1352</f>
        <v>25</v>
      </c>
      <c r="AL1352" s="5">
        <f>(T1352-W1352)/T1352</f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>(T1353-W1353)/T1353</f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>AJ1353</f>
        <v>0</v>
      </c>
      <c r="AJ1353" s="2">
        <f>AI1353*T1353</f>
        <v>0</v>
      </c>
      <c r="AK1353" s="2">
        <f>T1353-W1353</f>
        <v>30</v>
      </c>
      <c r="AL1353" s="5">
        <f>(T1353-W1353)/T1353</f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>(T1354-W1354)/T1354</f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>AJ1354</f>
        <v>0</v>
      </c>
      <c r="AJ1354" s="2">
        <f>AI1354*T1354</f>
        <v>0</v>
      </c>
      <c r="AK1354" s="2">
        <f>T1354-W1354</f>
        <v>75</v>
      </c>
      <c r="AL1354" s="5">
        <f>(T1354-W1354)/T1354</f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>(T1355-W1355)/T1355</f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>AJ1355</f>
        <v>0</v>
      </c>
      <c r="AJ1355" s="2">
        <f>AI1355*T1355</f>
        <v>0</v>
      </c>
      <c r="AK1355" s="2">
        <f>T1355-W1355</f>
        <v>30</v>
      </c>
      <c r="AL1355" s="5">
        <f>(T1355-W1355)/T1355</f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>(T1356-W1356)/T1356</f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>AJ1356</f>
        <v>0</v>
      </c>
      <c r="AJ1356" s="2">
        <f>AI1356*T1356</f>
        <v>0</v>
      </c>
      <c r="AK1356" s="2">
        <f>T1356-W1356</f>
        <v>25</v>
      </c>
      <c r="AL1356" s="5">
        <f>(T1356-W1356)/T1356</f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E1357" s="2" t="s">
        <v>109</v>
      </c>
      <c r="F1357" s="2" t="s">
        <v>39</v>
      </c>
      <c r="L1357" s="2" t="s">
        <v>100</v>
      </c>
      <c r="M1357" s="2" t="s">
        <v>41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>(T1357-W1357)/T1357</f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>AJ1357</f>
        <v>0</v>
      </c>
      <c r="AG1357" s="2">
        <v>15.020300000000001</v>
      </c>
      <c r="AH1357" s="2">
        <v>27.6</v>
      </c>
      <c r="AJ1357" s="2">
        <f>AI1357*T1357</f>
        <v>0</v>
      </c>
      <c r="AK1357" s="2">
        <f>T1357-W1357</f>
        <v>23.918799999999997</v>
      </c>
      <c r="AL1357" s="5">
        <f>(T1357-W1357)/T1357</f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>(T1358-W1358)/T1358</f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>AJ1358</f>
        <v>0</v>
      </c>
      <c r="AG1358" s="2">
        <v>6.6266999999999996</v>
      </c>
      <c r="AH1358" s="2">
        <v>12</v>
      </c>
      <c r="AJ1358" s="2">
        <f>AI1358*T1358</f>
        <v>0</v>
      </c>
      <c r="AK1358" s="2">
        <f>T1358-W1358</f>
        <v>21.493200000000002</v>
      </c>
      <c r="AL1358" s="5">
        <f>(T1358-W1358)/T1358</f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>(T1359-W1359)/T1359</f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>AJ1359</f>
        <v>0</v>
      </c>
      <c r="AG1359" s="2">
        <v>8.1999999999999993</v>
      </c>
      <c r="AH1359" s="2">
        <v>13</v>
      </c>
      <c r="AJ1359" s="2">
        <f>AI1359*T1359</f>
        <v>0</v>
      </c>
      <c r="AK1359" s="2">
        <f>T1359-W1359</f>
        <v>23</v>
      </c>
      <c r="AL1359" s="5">
        <f>(T1359-W1359)/T1359</f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>(T1360-W1360)/T1360</f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>AJ1360</f>
        <v>0</v>
      </c>
      <c r="AJ1360" s="2">
        <f>AI1360*T1360</f>
        <v>0</v>
      </c>
      <c r="AK1360" s="2">
        <f>T1360-W1360</f>
        <v>304.87750000000005</v>
      </c>
      <c r="AL1360" s="5">
        <f>(T1360-W1360)/T1360</f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>(T1361-W1361)/T1361</f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>AJ1361</f>
        <v>0</v>
      </c>
      <c r="AJ1361" s="2">
        <f>AI1361*T1361</f>
        <v>0</v>
      </c>
      <c r="AK1361" s="2">
        <f>T1361-W1361</f>
        <v>7.125</v>
      </c>
      <c r="AL1361" s="5">
        <f>(T1361-W1361)/T1361</f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>(T1362-W1362)/T1362</f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>AJ1362</f>
        <v>0</v>
      </c>
      <c r="AJ1362" s="2">
        <f>AI1362*T1362</f>
        <v>0</v>
      </c>
      <c r="AK1362" s="2">
        <f>T1362-W1362</f>
        <v>19.8</v>
      </c>
      <c r="AL1362" s="5">
        <f>(T1362-W1362)/T1362</f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>(T1363-W1363)/T1363</f>
        <v>0.44138749999999999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>AJ1363</f>
        <v>0</v>
      </c>
      <c r="AJ1363" s="2">
        <f>AI1363*T1363</f>
        <v>0</v>
      </c>
      <c r="AK1363" s="2">
        <f>T1363-W1363</f>
        <v>10.593299999999999</v>
      </c>
      <c r="AL1363" s="5">
        <f>(T1363-W1363)/T1363</f>
        <v>0.44138749999999999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>(T1364-W1364)/T1364</f>
        <v>0.43663541666666661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>AJ1364</f>
        <v>0</v>
      </c>
      <c r="AJ1364" s="2">
        <f>AI1364*T1364</f>
        <v>0</v>
      </c>
      <c r="AK1364" s="2">
        <f>T1364-W1364</f>
        <v>12.575099999999999</v>
      </c>
      <c r="AL1364" s="5">
        <f>(T1364-W1364)/T1364</f>
        <v>0.43663541666666661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>(T1365-W1365)/T1365</f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>AJ1365</f>
        <v>0</v>
      </c>
      <c r="AG1365" s="2">
        <v>10.6</v>
      </c>
      <c r="AH1365" s="2">
        <v>18</v>
      </c>
      <c r="AJ1365" s="2">
        <f>AI1365*T1365</f>
        <v>0</v>
      </c>
      <c r="AK1365" s="2">
        <f>T1365-W1365</f>
        <v>7.4</v>
      </c>
      <c r="AL1365" s="5">
        <f>(T1365-W1365)/T1365</f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>(T1366-W1366)/T1366</f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>AJ1366</f>
        <v>0</v>
      </c>
      <c r="AG1366" s="2">
        <v>0.85609999999999997</v>
      </c>
      <c r="AH1366" s="2">
        <v>1.8</v>
      </c>
      <c r="AJ1366" s="2">
        <f>AI1366*T1366</f>
        <v>0</v>
      </c>
      <c r="AK1366" s="2">
        <f>T1366-W1366</f>
        <v>6.6072999999999995</v>
      </c>
      <c r="AL1366" s="5">
        <f>(T1366-W1366)/T1366</f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>(T1367-W1367)/T1367</f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>AJ1367</f>
        <v>0</v>
      </c>
      <c r="AG1367" s="2">
        <v>1.1122000000000001</v>
      </c>
      <c r="AH1367" s="2">
        <v>3</v>
      </c>
      <c r="AJ1367" s="2">
        <f>AI1367*T1367</f>
        <v>0</v>
      </c>
      <c r="AK1367" s="2">
        <f>T1367-W1367</f>
        <v>56.634</v>
      </c>
      <c r="AL1367" s="5">
        <f>(T1367-W1367)/T1367</f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>(T1368-W1368)/T1368</f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>AJ1368</f>
        <v>0</v>
      </c>
      <c r="AJ1368" s="2">
        <f>AI1368*T1368</f>
        <v>0</v>
      </c>
      <c r="AK1368" s="2">
        <f>T1368-W1368</f>
        <v>40</v>
      </c>
      <c r="AL1368" s="5">
        <f>(T1368-W1368)/T1368</f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>(T1369-W1369)/T1369</f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>AJ1369</f>
        <v>0</v>
      </c>
      <c r="AJ1369" s="2">
        <f>AI1369*T1369</f>
        <v>0</v>
      </c>
      <c r="AK1369" s="2">
        <f>T1369-W1369</f>
        <v>38</v>
      </c>
      <c r="AL1369" s="5">
        <f>(T1369-W1369)/T1369</f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>(T1370-W1370)/T1370</f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>AJ1370</f>
        <v>0</v>
      </c>
      <c r="AJ1370" s="2">
        <f>AI1370*T1370</f>
        <v>0</v>
      </c>
      <c r="AK1370" s="2">
        <f>T1370-W1370</f>
        <v>17.650000000000006</v>
      </c>
      <c r="AL1370" s="5">
        <f>(T1370-W1370)/T1370</f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>(T1371-W1371)/T1371</f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>AJ1371</f>
        <v>0</v>
      </c>
      <c r="AJ1371" s="2">
        <f>AI1371*T1371</f>
        <v>0</v>
      </c>
      <c r="AK1371" s="2">
        <f>T1371-W1371</f>
        <v>17.650000000000006</v>
      </c>
      <c r="AL1371" s="5">
        <f>(T1371-W1371)/T1371</f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E1372" s="2" t="s">
        <v>38</v>
      </c>
      <c r="F1372" s="2" t="s">
        <v>39</v>
      </c>
      <c r="L1372" s="2" t="s">
        <v>3006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>(T1372-W1372)/T1372</f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>AJ1372</f>
        <v>0</v>
      </c>
      <c r="AG1372" s="2">
        <v>9.14</v>
      </c>
      <c r="AH1372" s="2">
        <v>16</v>
      </c>
      <c r="AJ1372" s="2">
        <f>AI1372*T1372</f>
        <v>0</v>
      </c>
      <c r="AK1372" s="2">
        <f>T1372-W1372</f>
        <v>38.600000000000009</v>
      </c>
      <c r="AL1372" s="5">
        <f>(T1372-W1372)/T1372</f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E1373" s="2" t="s">
        <v>38</v>
      </c>
      <c r="F1373" s="2" t="s">
        <v>39</v>
      </c>
      <c r="L1373" s="2" t="s">
        <v>3006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>(T1373-W1373)/T1373</f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>AJ1373</f>
        <v>0</v>
      </c>
      <c r="AG1373" s="2">
        <v>8.1999999999999993</v>
      </c>
      <c r="AH1373" s="2">
        <v>13</v>
      </c>
      <c r="AJ1373" s="2">
        <f>AI1373*T1373</f>
        <v>0</v>
      </c>
      <c r="AK1373" s="2">
        <f>T1373-W1373</f>
        <v>36</v>
      </c>
      <c r="AL1373" s="5">
        <f>(T1373-W1373)/T1373</f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>(T1374-W1374)/T1374</f>
        <v>1</v>
      </c>
      <c r="Z1374" s="2" t="s">
        <v>118</v>
      </c>
      <c r="AF1374" s="2">
        <f>AJ1374</f>
        <v>0</v>
      </c>
      <c r="AJ1374" s="2">
        <f>AI1374*T1374</f>
        <v>0</v>
      </c>
      <c r="AK1374" s="2">
        <f>T1374-W1374</f>
        <v>-65.239999999999995</v>
      </c>
      <c r="AL1374" s="5">
        <f>(T1374-W1374)/T1374</f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>AJ1375</f>
        <v>0</v>
      </c>
      <c r="AJ1375" s="2">
        <f>AI1375*T1375</f>
        <v>0</v>
      </c>
      <c r="AK1375" s="2">
        <f>T1375-W1375</f>
        <v>0</v>
      </c>
      <c r="AL1375" s="20" t="s">
        <v>3405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>AJ1376</f>
        <v>0</v>
      </c>
      <c r="AJ1376" s="2">
        <f>AI1376*T1376</f>
        <v>0</v>
      </c>
      <c r="AK1376" s="2">
        <f>T1376-W1376</f>
        <v>232</v>
      </c>
      <c r="AL1376" s="5">
        <f>(T1376-W1376)/T1376</f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>(T1377-W1377)/T1377</f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>AJ1377</f>
        <v>0</v>
      </c>
      <c r="AJ1377" s="2">
        <f>AI1377*T1377</f>
        <v>0</v>
      </c>
      <c r="AK1377" s="2">
        <f>T1377-W1377</f>
        <v>232</v>
      </c>
      <c r="AL1377" s="5">
        <f>(T1377-W1377)/T1377</f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>(T1378-W1378)/T1378</f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>AJ1378</f>
        <v>0</v>
      </c>
      <c r="AJ1378" s="2">
        <f>AI1378*T1378</f>
        <v>0</v>
      </c>
      <c r="AK1378" s="2">
        <f>T1378-W1378</f>
        <v>141.4</v>
      </c>
      <c r="AL1378" s="5">
        <f>(T1378-W1378)/T1378</f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>(T1379-W1379)/T1379</f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>AJ1379</f>
        <v>0</v>
      </c>
      <c r="AJ1379" s="2">
        <f>AI1379*T1379</f>
        <v>0</v>
      </c>
      <c r="AK1379" s="2">
        <f>T1379-W1379</f>
        <v>0</v>
      </c>
      <c r="AL1379" s="5">
        <f>(T1379-W1379)/T1379</f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>(T1380-W1380)/T1380</f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>AJ1380</f>
        <v>0</v>
      </c>
      <c r="AJ1380" s="2">
        <f>AI1380*T1380</f>
        <v>0</v>
      </c>
      <c r="AK1380" s="2">
        <f>T1380-W1380</f>
        <v>30</v>
      </c>
      <c r="AL1380" s="5">
        <f>(T1380-W1380)/T1380</f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>(T1381-W1381)/T1381</f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>AJ1381</f>
        <v>0</v>
      </c>
      <c r="AJ1381" s="2">
        <f>AI1381*T1381</f>
        <v>0</v>
      </c>
      <c r="AK1381" s="2">
        <f>T1381-W1381</f>
        <v>25</v>
      </c>
      <c r="AL1381" s="5">
        <f>(T1381-W1381)/T1381</f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>(T1382-W1382)/T1382</f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>AJ1382</f>
        <v>0</v>
      </c>
      <c r="AG1382" s="2">
        <v>27.445</v>
      </c>
      <c r="AJ1382" s="2">
        <f>AI1382*T1382</f>
        <v>0</v>
      </c>
      <c r="AK1382" s="2">
        <f>T1382-W1382</f>
        <v>44.91</v>
      </c>
      <c r="AL1382" s="5">
        <f>(T1382-W1382)/T1382</f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>(T1383-W1383)/T1383</f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>AJ1383</f>
        <v>0</v>
      </c>
      <c r="AJ1383" s="2">
        <f>AI1383*T1383</f>
        <v>0</v>
      </c>
      <c r="AK1383" s="2">
        <f>T1383-W1383</f>
        <v>3.759999999999998</v>
      </c>
      <c r="AL1383" s="5">
        <f>(T1383-W1383)/T1383</f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>(T1384-W1384)/T1384</f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>AJ1384</f>
        <v>0</v>
      </c>
      <c r="AJ1384" s="2">
        <f>AI1384*T1384</f>
        <v>0</v>
      </c>
      <c r="AK1384" s="2">
        <f>T1384-W1384</f>
        <v>5.5548000000000002</v>
      </c>
      <c r="AL1384" s="5">
        <f>(T1384-W1384)/T1384</f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>(T1385-W1385)/T1385</f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>AJ1385</f>
        <v>0</v>
      </c>
      <c r="AG1385" s="2">
        <v>10.15</v>
      </c>
      <c r="AJ1385" s="2">
        <f>AI1385*T1385</f>
        <v>0</v>
      </c>
      <c r="AK1385" s="2">
        <f>T1385-W1385</f>
        <v>74.89</v>
      </c>
      <c r="AL1385" s="5">
        <f>(T1385-W1385)/T1385</f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>(T1386-W1386)/T1386</f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>AJ1386</f>
        <v>0</v>
      </c>
      <c r="AJ1386" s="2">
        <f>AI1386*T1386</f>
        <v>0</v>
      </c>
      <c r="AK1386" s="2">
        <f>T1386-W1386</f>
        <v>82.8</v>
      </c>
      <c r="AL1386" s="5">
        <f>(T1386-W1386)/T1386</f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>(T1387-W1387)/T1387</f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>AJ1387</f>
        <v>0</v>
      </c>
      <c r="AJ1387" s="2">
        <f>AI1387*T1387</f>
        <v>0</v>
      </c>
      <c r="AK1387" s="2">
        <f>T1387-W1387</f>
        <v>106.25</v>
      </c>
      <c r="AL1387" s="5">
        <f>(T1387-W1387)/T1387</f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>(T1388-W1388)/T1388</f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>AJ1388</f>
        <v>0</v>
      </c>
      <c r="AG1388" s="2">
        <v>117.453</v>
      </c>
      <c r="AH1388" s="2">
        <v>220</v>
      </c>
      <c r="AJ1388" s="2">
        <f>AI1388*T1388</f>
        <v>0</v>
      </c>
      <c r="AK1388" s="2">
        <f>T1388-W1388</f>
        <v>195.09399999999999</v>
      </c>
      <c r="AL1388" s="5">
        <f>(T1388-W1388)/T1388</f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>(T1389-W1389)/T1389</f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>AJ1389</f>
        <v>0</v>
      </c>
      <c r="AG1389" s="2">
        <f>144.14+15.4</f>
        <v>159.54</v>
      </c>
      <c r="AH1389" s="2">
        <v>280</v>
      </c>
      <c r="AJ1389" s="2">
        <f>AI1389*T1389</f>
        <v>0</v>
      </c>
      <c r="AK1389" s="2">
        <f>T1389-W1389</f>
        <v>80.450000000000017</v>
      </c>
      <c r="AL1389" s="5">
        <f>(T1389-W1389)/T1389</f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>(T1390-W1390)/T1390</f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>AJ1390</f>
        <v>0</v>
      </c>
      <c r="AJ1390" s="2">
        <f>AI1390*T1390</f>
        <v>0</v>
      </c>
      <c r="AK1390" s="2">
        <f>T1390-W1390</f>
        <v>217.95999999999998</v>
      </c>
      <c r="AL1390" s="5">
        <f>(T1390-W1390)/T1390</f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>AJ1391</f>
        <v>0</v>
      </c>
      <c r="AJ1391" s="2">
        <f>AI1391*T1391</f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>(T1392-W1392)/T1392</f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>AJ1392</f>
        <v>0</v>
      </c>
      <c r="AJ1392" s="2">
        <f>AI1392*T1392</f>
        <v>0</v>
      </c>
      <c r="AK1392" s="2">
        <f>T1392-W1392</f>
        <v>0</v>
      </c>
      <c r="AL1392" s="5">
        <f>(T1392-W1392)/T1392</f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>(T1393-W1393)/T1393</f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>AJ1393</f>
        <v>0</v>
      </c>
      <c r="AG1393" s="2">
        <v>117.453</v>
      </c>
      <c r="AH1393" s="2">
        <v>220</v>
      </c>
      <c r="AJ1393" s="2">
        <f>AI1393*T1393</f>
        <v>0</v>
      </c>
      <c r="AK1393" s="2">
        <f>T1393-W1393</f>
        <v>92.546999999999997</v>
      </c>
      <c r="AL1393" s="5">
        <f>(T1393-W1393)/T1393</f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>(T1394-W1394)/T1394</f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>AJ1394</f>
        <v>0</v>
      </c>
      <c r="AJ1394" s="2">
        <f>AI1394*T1394</f>
        <v>0</v>
      </c>
      <c r="AK1394" s="2">
        <f>T1394-W1394</f>
        <v>0</v>
      </c>
      <c r="AL1394" s="5">
        <f>(T1394-W1394)/T1394</f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>(T1395-W1395)/T1395</f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>AJ1395</f>
        <v>0</v>
      </c>
      <c r="AG1395" s="2">
        <v>37.96</v>
      </c>
      <c r="AJ1395" s="2">
        <f>AI1395*T1395</f>
        <v>0</v>
      </c>
      <c r="AK1395" s="2">
        <f>T1395-W1395</f>
        <v>28.449999999999996</v>
      </c>
      <c r="AL1395" s="5">
        <f>(T1395-W1395)/T1395</f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>(T1396-W1396)/T1396</f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>AJ1396</f>
        <v>0</v>
      </c>
      <c r="AG1396" s="2">
        <v>32.024999999999999</v>
      </c>
      <c r="AJ1396" s="2">
        <f>AI1396*T1396</f>
        <v>0</v>
      </c>
      <c r="AK1396" s="2">
        <f>T1396-W1396</f>
        <v>89.034999999999997</v>
      </c>
      <c r="AL1396" s="5">
        <f>(T1396-W1396)/T1396</f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>(T1397-W1397)/T1397</f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>AJ1397</f>
        <v>0</v>
      </c>
      <c r="AG1397" s="2">
        <v>291.58999999999997</v>
      </c>
      <c r="AH1397" s="2">
        <v>450</v>
      </c>
      <c r="AJ1397" s="2">
        <f>AI1397*T1397</f>
        <v>0</v>
      </c>
      <c r="AK1397" s="2">
        <f>T1397-W1397</f>
        <v>316.82000000000005</v>
      </c>
      <c r="AL1397" s="5">
        <f>(T1397-W1397)/T1397</f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>AJ1398</f>
        <v>0</v>
      </c>
      <c r="AJ1398" s="2">
        <f>AI1398*T1398</f>
        <v>0</v>
      </c>
      <c r="AK1398" s="2">
        <f>T1398-W1398</f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>AJ1399</f>
        <v>0</v>
      </c>
      <c r="AJ1399" s="2">
        <f>AI1399*T1399</f>
        <v>0</v>
      </c>
      <c r="AK1399" s="2">
        <f>T1399-W1399</f>
        <v>67.5</v>
      </c>
      <c r="AL1399" s="5">
        <f>(T1399-W1399)/T1399</f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>(T1400-W1400)/T1400</f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>AJ1400</f>
        <v>0</v>
      </c>
      <c r="AG1400" s="2">
        <v>1.1399999999999999</v>
      </c>
      <c r="AH1400" s="2">
        <v>1.1399999999999999</v>
      </c>
      <c r="AJ1400" s="2">
        <f>AI1400*T1400</f>
        <v>0</v>
      </c>
      <c r="AK1400" s="2">
        <f>T1400-W1400</f>
        <v>0</v>
      </c>
      <c r="AL1400" s="5">
        <f>(T1400-W1400)/T1400</f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>(T1401-W1401)/T1401</f>
        <v>1</v>
      </c>
      <c r="Z1401" s="2" t="s">
        <v>120</v>
      </c>
      <c r="AA1401" s="2" t="s">
        <v>3384</v>
      </c>
      <c r="AF1401" s="2">
        <f>AJ1401</f>
        <v>0</v>
      </c>
      <c r="AJ1401" s="2">
        <f>AI1401*T1401</f>
        <v>0</v>
      </c>
      <c r="AK1401" s="2">
        <f>T1401-W1401</f>
        <v>42.77</v>
      </c>
      <c r="AL1401" s="5">
        <f>(T1401-W1401)/T1401</f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>(T1402-W1402)/T1402</f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>AJ1402</f>
        <v>0</v>
      </c>
      <c r="AJ1402" s="2">
        <f>AI1402*T1402</f>
        <v>0</v>
      </c>
      <c r="AK1402" s="2">
        <f>T1402-W1402</f>
        <v>88.93</v>
      </c>
      <c r="AL1402" s="5">
        <f>(T1402-W1402)/T1402</f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>(T1403-W1403)/T1403</f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>AJ1403</f>
        <v>0</v>
      </c>
      <c r="AJ1403" s="2">
        <f>AI1403*T1403</f>
        <v>0</v>
      </c>
      <c r="AK1403" s="2">
        <f>T1403-W1403</f>
        <v>0</v>
      </c>
      <c r="AL1403" s="5">
        <f>(T1403-W1403)/T1403</f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>(T1404-W1404)/T1404</f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>AJ1404</f>
        <v>0</v>
      </c>
      <c r="AG1404" s="2">
        <v>117.453</v>
      </c>
      <c r="AH1404" s="2">
        <v>220</v>
      </c>
      <c r="AJ1404" s="2">
        <f>AI1404*T1404</f>
        <v>0</v>
      </c>
      <c r="AK1404" s="2">
        <f>T1404-W1404</f>
        <v>102.547</v>
      </c>
      <c r="AL1404" s="5">
        <f>(T1404-W1404)/T1404</f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>(T1405-W1405)/T1405</f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>AJ1405</f>
        <v>0</v>
      </c>
      <c r="AJ1405" s="2">
        <f>AI1405*T1405</f>
        <v>0</v>
      </c>
      <c r="AK1405" s="2">
        <f>T1405-W1405</f>
        <v>153.47999999999999</v>
      </c>
      <c r="AL1405" s="5">
        <f>(T1405-W1405)/T1405</f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>(T1406-W1406)/T1406</f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>AJ1406</f>
        <v>0</v>
      </c>
      <c r="AJ1406" s="2">
        <f>AI1406*T1406</f>
        <v>0</v>
      </c>
      <c r="AK1406" s="2">
        <f>T1406-W1406</f>
        <v>0</v>
      </c>
      <c r="AL1406" s="5">
        <f>(T1406-W1406)/T1406</f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>(T1407-W1407)/T1407</f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>AJ1407</f>
        <v>0</v>
      </c>
      <c r="AJ1407" s="2">
        <f>AI1407*T1407</f>
        <v>0</v>
      </c>
      <c r="AK1407" s="2">
        <f>T1407-W1407</f>
        <v>786.75</v>
      </c>
      <c r="AL1407" s="5">
        <f>(T1407-W1407)/T1407</f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>(T1408-W1408)/T1408</f>
        <v>1</v>
      </c>
      <c r="Z1408" s="2" t="s">
        <v>118</v>
      </c>
      <c r="AF1408" s="2">
        <f>AJ1408</f>
        <v>0</v>
      </c>
      <c r="AJ1408" s="2">
        <f>AI1408*T1408</f>
        <v>0</v>
      </c>
      <c r="AK1408" s="2">
        <f>T1408-W1408</f>
        <v>14.95</v>
      </c>
      <c r="AL1408" s="5">
        <f>(T1408-W1408)/T1408</f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>(T1409-W1409)/T1409</f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>AJ1409</f>
        <v>0</v>
      </c>
      <c r="AJ1409" s="2">
        <f>AI1409*T1409</f>
        <v>0</v>
      </c>
      <c r="AK1409" s="2">
        <f>T1409-W1409</f>
        <v>70.22</v>
      </c>
      <c r="AL1409" s="5">
        <f>(T1409-W1409)/T1409</f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E1410" s="2" t="s">
        <v>38</v>
      </c>
      <c r="F1410" s="2" t="s">
        <v>718</v>
      </c>
      <c r="L1410" s="2" t="s">
        <v>462</v>
      </c>
      <c r="M1410" s="2" t="s">
        <v>41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>(T1410-W1410)/T1410</f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>AJ1410</f>
        <v>0</v>
      </c>
      <c r="AJ1410" s="2">
        <f>AI1410*T1410</f>
        <v>0</v>
      </c>
      <c r="AK1410" s="2">
        <f>T1410-W1410</f>
        <v>32.1</v>
      </c>
      <c r="AL1410" s="5">
        <f>(T1410-W1410)/T1410</f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E1411" s="2" t="s">
        <v>38</v>
      </c>
      <c r="F1411" s="2" t="s">
        <v>718</v>
      </c>
      <c r="L1411" s="2" t="s">
        <v>462</v>
      </c>
      <c r="M1411" s="2" t="s">
        <v>41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>(T1411-W1411)/T1411</f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>AJ1411</f>
        <v>0</v>
      </c>
      <c r="AG1411" s="2">
        <v>8.1999999999999993</v>
      </c>
      <c r="AH1411" s="2">
        <v>13</v>
      </c>
      <c r="AJ1411" s="2">
        <f>AI1411*T1411</f>
        <v>0</v>
      </c>
      <c r="AK1411" s="2">
        <f>T1411-W1411</f>
        <v>69</v>
      </c>
      <c r="AL1411" s="5">
        <f>(T1411-W1411)/T1411</f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>(T1412-W1412)/T1412</f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>AJ1412</f>
        <v>0</v>
      </c>
      <c r="AG1412" s="2">
        <v>117.453</v>
      </c>
      <c r="AH1412" s="2">
        <v>220</v>
      </c>
      <c r="AJ1412" s="2">
        <f>AI1412*T1412</f>
        <v>0</v>
      </c>
      <c r="AK1412" s="2">
        <f>T1412-W1412</f>
        <v>102.547</v>
      </c>
      <c r="AL1412" s="5">
        <f>(T1412-W1412)/T1412</f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>(T1413-W1413)/T1413</f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>AJ1413</f>
        <v>0</v>
      </c>
      <c r="AJ1413" s="2">
        <f>AI1413*T1413</f>
        <v>0</v>
      </c>
      <c r="AK1413" s="2">
        <f>T1413-W1413</f>
        <v>0</v>
      </c>
      <c r="AL1413" s="5">
        <f>(T1413-W1413)/T1413</f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>(T1414-W1414)/T1414</f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>AJ1414</f>
        <v>0</v>
      </c>
      <c r="AG1414" s="2">
        <v>209.3</v>
      </c>
      <c r="AJ1414" s="2">
        <f>AI1414*T1414</f>
        <v>0</v>
      </c>
      <c r="AK1414" s="2">
        <f>T1414-W1414</f>
        <v>159.69999999999999</v>
      </c>
      <c r="AL1414" s="5">
        <f>(T1414-W1414)/T1414</f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>(T1415-W1415)/T1415</f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>AJ1415</f>
        <v>0</v>
      </c>
      <c r="AG1415" s="2">
        <v>136.94999999999999</v>
      </c>
      <c r="AJ1415" s="2">
        <f>AI1415*T1415</f>
        <v>0</v>
      </c>
      <c r="AK1415" s="2">
        <f>T1415-W1415</f>
        <v>112.05000000000001</v>
      </c>
      <c r="AL1415" s="5">
        <f>(T1415-W1415)/T1415</f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>(T1416-W1416)/T1416</f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>AJ1416</f>
        <v>0</v>
      </c>
      <c r="AG1416" s="2">
        <v>64.349999999999994</v>
      </c>
      <c r="AJ1416" s="2">
        <f>AI1416*T1416</f>
        <v>0</v>
      </c>
      <c r="AK1416" s="2">
        <f>T1416-W1416</f>
        <v>69.300000000000011</v>
      </c>
      <c r="AL1416" s="5">
        <f>(T1416-W1416)/T1416</f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>(T1417-W1417)/T1417</f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>AJ1417</f>
        <v>0</v>
      </c>
      <c r="AJ1417" s="2">
        <f>AI1417*T1417</f>
        <v>0</v>
      </c>
      <c r="AK1417" s="2">
        <f>T1417-W1417</f>
        <v>45</v>
      </c>
      <c r="AL1417" s="5">
        <f>(T1417-W1417)/T1417</f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>(T1418-W1418)/T1418</f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>AJ1418</f>
        <v>0</v>
      </c>
      <c r="AJ1418" s="2">
        <f>AI1418*T1418</f>
        <v>0</v>
      </c>
      <c r="AK1418" s="2">
        <f>T1418-W1418</f>
        <v>50</v>
      </c>
      <c r="AL1418" s="5">
        <f>(T1418-W1418)/T1418</f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>(T1419-W1419)/T1419</f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>AJ1419</f>
        <v>0</v>
      </c>
      <c r="AG1419" s="2">
        <v>6.6266999999999996</v>
      </c>
      <c r="AH1419" s="2">
        <v>12</v>
      </c>
      <c r="AJ1419" s="2">
        <f>AI1419*T1419</f>
        <v>0</v>
      </c>
      <c r="AK1419" s="2">
        <f>T1419-W1419</f>
        <v>43.733000000000004</v>
      </c>
      <c r="AL1419" s="5">
        <f>(T1419-W1419)/T1419</f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>(T1420-W1420)/T1420</f>
        <v>1</v>
      </c>
      <c r="Z1420" s="2" t="s">
        <v>118</v>
      </c>
      <c r="AA1420" s="2" t="s">
        <v>318</v>
      </c>
      <c r="AF1420" s="2">
        <f>AJ1420</f>
        <v>0</v>
      </c>
      <c r="AJ1420" s="2">
        <f>AI1420*T1420</f>
        <v>0</v>
      </c>
      <c r="AK1420" s="2">
        <f>T1420-W1420</f>
        <v>461</v>
      </c>
      <c r="AL1420" s="5">
        <f>(T1420-W1420)/T1420</f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>(T1421-W1421)/T1421</f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>AJ1421</f>
        <v>0</v>
      </c>
      <c r="AJ1421" s="2">
        <f>AI1421*T1421</f>
        <v>0</v>
      </c>
      <c r="AK1421" s="2">
        <f>T1421-W1421</f>
        <v>6.1699999999999982</v>
      </c>
      <c r="AL1421" s="5">
        <f>(T1421-W1421)/T1421</f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>(T1422-W1422)/T1422</f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>AJ1422</f>
        <v>0</v>
      </c>
      <c r="AG1422" s="2">
        <v>10.6</v>
      </c>
      <c r="AH1422" s="2">
        <v>18</v>
      </c>
      <c r="AJ1422" s="2">
        <f>AI1422*T1422</f>
        <v>0</v>
      </c>
      <c r="AK1422" s="2">
        <f>T1422-W1422</f>
        <v>54</v>
      </c>
      <c r="AL1422" s="5">
        <f>(T1422-W1422)/T1422</f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>(T1423-W1423)/T1423</f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>AJ1423</f>
        <v>0</v>
      </c>
      <c r="AG1423" s="2">
        <v>8.1999999999999993</v>
      </c>
      <c r="AH1423" s="2">
        <v>13</v>
      </c>
      <c r="AJ1423" s="2">
        <f>AI1423*T1423</f>
        <v>0</v>
      </c>
      <c r="AK1423" s="2">
        <f>T1423-W1423</f>
        <v>23</v>
      </c>
      <c r="AL1423" s="5">
        <f>(T1423-W1423)/T1423</f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>(T1424-W1424)/T1424</f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>AJ1424</f>
        <v>0</v>
      </c>
      <c r="AG1424" s="2">
        <v>3.7555999999999998</v>
      </c>
      <c r="AH1424" s="2">
        <v>7.2</v>
      </c>
      <c r="AJ1424" s="2">
        <f>AI1424*T1424</f>
        <v>0</v>
      </c>
      <c r="AK1424" s="2">
        <f>T1424-W1424</f>
        <v>56.888000000000005</v>
      </c>
      <c r="AL1424" s="5">
        <f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>(T1425-W1425)/T1425</f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>AJ1425</f>
        <v>0</v>
      </c>
      <c r="AG1425" s="2">
        <v>1.4114</v>
      </c>
      <c r="AH1425" s="2">
        <v>3</v>
      </c>
      <c r="AJ1425" s="2">
        <f>AI1425*T1425</f>
        <v>0</v>
      </c>
      <c r="AK1425" s="2">
        <f>T1425-W1425</f>
        <v>19.771999999999998</v>
      </c>
      <c r="AL1425" s="5">
        <f>(T1425-W1425)/T1425</f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>(T1426-W1426)/T1426</f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>AJ1426</f>
        <v>0</v>
      </c>
      <c r="AG1426" s="2">
        <v>15.020300000000001</v>
      </c>
      <c r="AH1426" s="2">
        <v>27.6</v>
      </c>
      <c r="AJ1426" s="2">
        <f>AI1426*T1426</f>
        <v>0</v>
      </c>
      <c r="AK1426" s="2">
        <f>T1426-W1426</f>
        <v>12.959399999999999</v>
      </c>
      <c r="AL1426" s="5">
        <f>(T1426-W1426)/T1426</f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1103</v>
      </c>
      <c r="J1427" s="2" t="s">
        <v>1104</v>
      </c>
      <c r="L1427" s="2" t="s">
        <v>178</v>
      </c>
      <c r="M1427" s="2" t="s">
        <v>41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>(T1427-W1427)/T1427</f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>AJ1427</f>
        <v>0</v>
      </c>
      <c r="AG1427" s="2">
        <v>9.14</v>
      </c>
      <c r="AH1427" s="2">
        <v>16</v>
      </c>
      <c r="AJ1427" s="2">
        <f>AI1427*T1427</f>
        <v>0</v>
      </c>
      <c r="AK1427" s="2">
        <f>T1427-W1427</f>
        <v>4.8600000000000012</v>
      </c>
      <c r="AL1427" s="5">
        <f>(T1427-W1427)/T1427</f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>(T1428-W1428)/T1428</f>
        <v>1</v>
      </c>
      <c r="Z1428" s="2" t="s">
        <v>118</v>
      </c>
      <c r="AF1428" s="2">
        <f>AJ1428</f>
        <v>0</v>
      </c>
      <c r="AJ1428" s="2">
        <f>AI1428*T1428</f>
        <v>0</v>
      </c>
      <c r="AK1428" s="2">
        <f>T1428-W1428</f>
        <v>42.7</v>
      </c>
      <c r="AL1428" s="5">
        <f>(T1428-W1428)/T1428</f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>(T1429-W1429)/T1429</f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>AJ1429</f>
        <v>0</v>
      </c>
      <c r="AJ1429" s="2">
        <f>AI1429*T1429</f>
        <v>0</v>
      </c>
      <c r="AK1429" s="2">
        <f>T1429-W1429</f>
        <v>18.799999999999997</v>
      </c>
      <c r="AL1429" s="5">
        <f>(T1429-W1429)/T1429</f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>(T1430-W1430)/T1430</f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>AJ1430</f>
        <v>0</v>
      </c>
      <c r="AG1430" s="2">
        <v>3.7357999999999998</v>
      </c>
      <c r="AH1430" s="2">
        <v>9</v>
      </c>
      <c r="AJ1430" s="2">
        <f>AI1430*T1430</f>
        <v>0</v>
      </c>
      <c r="AK1430" s="2">
        <f>T1430-W1430</f>
        <v>8.1283999999999992</v>
      </c>
      <c r="AL1430" s="5">
        <f>(T1430-W1430)/T1430</f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>AJ1431</f>
        <v>0</v>
      </c>
      <c r="AG1431" s="2">
        <v>10.6</v>
      </c>
      <c r="AH1431" s="2">
        <v>18</v>
      </c>
      <c r="AJ1431" s="2">
        <f>AI1431*T1431</f>
        <v>0</v>
      </c>
      <c r="AK1431" s="2">
        <f>T1431-W1431</f>
        <v>27</v>
      </c>
      <c r="AL1431" s="5">
        <f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>(T1432-W1432)/T1432</f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>AJ1432</f>
        <v>0</v>
      </c>
      <c r="AG1432" s="2">
        <v>8.1999999999999993</v>
      </c>
      <c r="AH1432" s="2">
        <v>13</v>
      </c>
      <c r="AJ1432" s="2">
        <f>AI1432*T1432</f>
        <v>0</v>
      </c>
      <c r="AK1432" s="2">
        <f>T1432-W1432</f>
        <v>24</v>
      </c>
      <c r="AL1432" s="5">
        <f>(T1432-W1432)/T1432</f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>(T1433-W1433)/T1433</f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>AJ1433</f>
        <v>0</v>
      </c>
      <c r="AJ1433" s="2">
        <f>AI1433*T1433</f>
        <v>0</v>
      </c>
      <c r="AK1433" s="2">
        <f>T1433-W1433</f>
        <v>64.8</v>
      </c>
      <c r="AL1433" s="5">
        <f>(T1433-W1433)/T1433</f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>(T1434-W1434)/T1434</f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>AJ1434</f>
        <v>0</v>
      </c>
      <c r="AJ1434" s="2">
        <f>AI1434*T1434</f>
        <v>0</v>
      </c>
      <c r="AK1434" s="2">
        <f>T1434-W1434</f>
        <v>67.5</v>
      </c>
      <c r="AL1434" s="5">
        <f>(T1434-W1434)/T1434</f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>(T1435-W1435)/T1435</f>
        <v>1</v>
      </c>
      <c r="Z1435" s="2" t="s">
        <v>120</v>
      </c>
      <c r="AA1435" s="2" t="s">
        <v>3384</v>
      </c>
      <c r="AF1435" s="2">
        <f>AJ1435</f>
        <v>0</v>
      </c>
      <c r="AJ1435" s="2">
        <f>AI1435*T1435</f>
        <v>0</v>
      </c>
      <c r="AK1435" s="2">
        <f>T1435-W1435</f>
        <v>11.4</v>
      </c>
      <c r="AL1435" s="5">
        <f>(T1435-W1435)/T1435</f>
        <v>1</v>
      </c>
    </row>
    <row r="1436" spans="1:38" x14ac:dyDescent="0.2">
      <c r="A1436" s="2">
        <v>2025</v>
      </c>
      <c r="B1436" s="2">
        <v>7</v>
      </c>
      <c r="C1436" s="2" t="s">
        <v>3404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>(T1436-W1436)/T1436</f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>AJ1436</f>
        <v>0</v>
      </c>
      <c r="AJ1436" s="2">
        <f>AI1436*T1436</f>
        <v>0</v>
      </c>
      <c r="AK1436" s="2">
        <f>T1436-W1436</f>
        <v>20.860000000000007</v>
      </c>
      <c r="AL1436" s="5">
        <f>(T1436-W1436)/T1436</f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>(T1437-W1437)/T1437</f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>AJ1437</f>
        <v>0</v>
      </c>
      <c r="AG1437" s="2">
        <v>5.2342000000000004</v>
      </c>
      <c r="AJ1437" s="2">
        <f>AI1437*T1437</f>
        <v>0</v>
      </c>
      <c r="AK1437" s="2">
        <f>T1437-W1437</f>
        <v>19.421599999999998</v>
      </c>
      <c r="AL1437" s="5">
        <f>(T1437-W1437)/T1437</f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>(T1438-W1438)/T1438</f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>AJ1438</f>
        <v>0</v>
      </c>
      <c r="AJ1438" s="2">
        <f>AI1438*T1438</f>
        <v>0</v>
      </c>
      <c r="AK1438" s="2">
        <f>T1438-W1438</f>
        <v>100</v>
      </c>
      <c r="AL1438" s="5">
        <f>(T1438-W1438)/T1438</f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>(T1439-W1439)/T1439</f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>AJ1439</f>
        <v>0</v>
      </c>
      <c r="AJ1439" s="2">
        <f>AI1439*T1439</f>
        <v>0</v>
      </c>
      <c r="AK1439" s="2">
        <f>T1439-W1439</f>
        <v>59.808399999999999</v>
      </c>
      <c r="AL1439" s="5">
        <f>(T1439-W1439)/T1439</f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>(T1440-W1440)/T1440</f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>AJ1440</f>
        <v>0</v>
      </c>
      <c r="AJ1440" s="2">
        <f>AI1440*T1440</f>
        <v>0</v>
      </c>
      <c r="AK1440" s="2">
        <f>T1440-W1440</f>
        <v>89.183300000000003</v>
      </c>
      <c r="AL1440" s="5">
        <f>(T1440-W1440)/T1440</f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>(T1441-W1441)/T1441</f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>AJ1441</f>
        <v>0</v>
      </c>
      <c r="AG1441" s="2">
        <v>122.446</v>
      </c>
      <c r="AH1441" s="2">
        <v>230</v>
      </c>
      <c r="AJ1441" s="2">
        <f>AI1441*T1441</f>
        <v>0</v>
      </c>
      <c r="AK1441" s="2">
        <f>T1441-W1441</f>
        <v>90.954000000000008</v>
      </c>
      <c r="AL1441" s="5">
        <f>(T1441-W1441)/T1441</f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>(T1442-W1442)/T1442</f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>AJ1442</f>
        <v>0</v>
      </c>
      <c r="AJ1442" s="2">
        <f>AI1442*T1442</f>
        <v>0</v>
      </c>
      <c r="AK1442" s="2">
        <f>T1442-W1442</f>
        <v>125.74000000000001</v>
      </c>
      <c r="AL1442" s="5">
        <f>(T1442-W1442)/T1442</f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>(T1443-W1443)/T1443</f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>AJ1443</f>
        <v>0</v>
      </c>
      <c r="AJ1443" s="2">
        <f>AI1443*T1443</f>
        <v>0</v>
      </c>
      <c r="AK1443" s="2">
        <f>T1443-W1443</f>
        <v>157.98000000000002</v>
      </c>
      <c r="AL1443" s="5">
        <f>(T1443-W1443)/T1443</f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>(T1444-W1444)/T1444</f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>AJ1444</f>
        <v>0</v>
      </c>
      <c r="AJ1444" s="2">
        <f>AI1444*T1444</f>
        <v>0</v>
      </c>
      <c r="AK1444" s="2">
        <f>T1444-W1444</f>
        <v>84.639999999999986</v>
      </c>
      <c r="AL1444" s="5">
        <f>(T1444-W1444)/T1444</f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>(T1445-W1445)/T1445</f>
        <v>0.23333333333333334</v>
      </c>
      <c r="Z1445" s="2" t="s">
        <v>170</v>
      </c>
      <c r="AA1445" s="2" t="s">
        <v>170</v>
      </c>
      <c r="AF1445" s="2">
        <f>AJ1445</f>
        <v>0</v>
      </c>
      <c r="AJ1445" s="2">
        <f>AI1445*T1445</f>
        <v>0</v>
      </c>
      <c r="AK1445" s="2">
        <f>T1445-W1445</f>
        <v>7</v>
      </c>
      <c r="AL1445" s="5">
        <f>(T1445-W1445)/T1445</f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>(T1446-W1446)/T1446</f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>AJ1446</f>
        <v>0</v>
      </c>
      <c r="AJ1446" s="2">
        <f>AI1446*T1446</f>
        <v>0</v>
      </c>
      <c r="AK1446" s="2">
        <f>T1446-W1446</f>
        <v>0</v>
      </c>
      <c r="AL1446" s="5">
        <f>(T1446-W1446)/T1446</f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M1447" s="2" t="s">
        <v>41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>(T1447-W1447)/T1447</f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>AJ1447</f>
        <v>0</v>
      </c>
      <c r="AJ1447" s="2">
        <f>AI1447*T1447</f>
        <v>0</v>
      </c>
      <c r="AK1447" s="2">
        <f>T1447-W1447</f>
        <v>23.200000000000003</v>
      </c>
      <c r="AL1447" s="5">
        <f>(T1447-W1447)/T1447</f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M1448" s="2" t="s">
        <v>41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>(T1448-W1448)/T1448</f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>AJ1448</f>
        <v>0</v>
      </c>
      <c r="AJ1448" s="2">
        <f>AI1448*T1448</f>
        <v>0</v>
      </c>
      <c r="AK1448" s="2">
        <f>T1448-W1448</f>
        <v>11.600000000000001</v>
      </c>
      <c r="AL1448" s="5">
        <f>(T1448-W1448)/T1448</f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M1449" s="2" t="s">
        <v>41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>(T1449-W1449)/T1449</f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>AJ1449</f>
        <v>0</v>
      </c>
      <c r="AG1449" s="2">
        <v>0.85609999999999997</v>
      </c>
      <c r="AH1449" s="2">
        <v>1.8</v>
      </c>
      <c r="AJ1449" s="2">
        <f>AI1449*T1449</f>
        <v>0</v>
      </c>
      <c r="AK1449" s="2">
        <f>T1449-W1449</f>
        <v>9.4390000000000001</v>
      </c>
      <c r="AL1449" s="5">
        <f>(T1449-W1449)/T1449</f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>(T1450-W1450)/T1450</f>
        <v>1</v>
      </c>
      <c r="Z1450" s="2" t="s">
        <v>118</v>
      </c>
      <c r="AF1450" s="2">
        <f>AJ1450</f>
        <v>0</v>
      </c>
      <c r="AJ1450" s="2">
        <f>AI1450*T1450</f>
        <v>0</v>
      </c>
      <c r="AK1450" s="2">
        <f>T1450-W1450</f>
        <v>30.13</v>
      </c>
      <c r="AL1450" s="5">
        <f>(T1450-W1450)/T1450</f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>(T1451-W1451)/T1451</f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>AJ1451</f>
        <v>0</v>
      </c>
      <c r="AJ1451" s="2">
        <f>AI1451*T1451</f>
        <v>0</v>
      </c>
      <c r="AK1451" s="2">
        <f>T1451-W1451</f>
        <v>13.93</v>
      </c>
      <c r="AL1451" s="5">
        <f>(T1451-W1451)/T1451</f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>AJ1452</f>
        <v>0</v>
      </c>
      <c r="AJ1452" s="2">
        <f>AI1452*T1452</f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>AJ1453</f>
        <v>0</v>
      </c>
      <c r="AG1453" s="2">
        <v>565.755</v>
      </c>
      <c r="AJ1453" s="2">
        <f>AI1453*T1453</f>
        <v>0</v>
      </c>
      <c r="AK1453" s="2">
        <f>T1453-W1453</f>
        <v>2069.8150000000001</v>
      </c>
      <c r="AL1453" s="5">
        <f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>(T1454-W1454)/T1454</f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>AJ1454</f>
        <v>0</v>
      </c>
      <c r="AJ1454" s="2">
        <f>AI1454*T1454</f>
        <v>0</v>
      </c>
      <c r="AK1454" s="2">
        <f>T1454-W1454</f>
        <v>145.19999999999999</v>
      </c>
      <c r="AL1454" s="5">
        <f>(T1454-W1454)/T1454</f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>(T1455-W1455)/T1455</f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>AJ1455</f>
        <v>0</v>
      </c>
      <c r="AJ1455" s="2">
        <f>AI1455*T1455</f>
        <v>0</v>
      </c>
      <c r="AK1455" s="2">
        <f>T1455-W1455</f>
        <v>100</v>
      </c>
      <c r="AL1455" s="5">
        <f>(T1455-W1455)/T1455</f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>(T1456-W1456)/T1456</f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>AJ1456</f>
        <v>0</v>
      </c>
      <c r="AJ1456" s="2">
        <f>AI1456*T1456</f>
        <v>0</v>
      </c>
      <c r="AK1456" s="2">
        <f>T1456-W1456</f>
        <v>-580</v>
      </c>
      <c r="AL1456" s="5">
        <f>(T1456-W1456)/T1456</f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>(T1457-W1457)/T1457</f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>AJ1457</f>
        <v>0</v>
      </c>
      <c r="AJ1457" s="2">
        <f>AI1457*T1457</f>
        <v>0</v>
      </c>
      <c r="AK1457" s="2">
        <f>T1457-W1457</f>
        <v>25.11</v>
      </c>
      <c r="AL1457" s="5">
        <f>(T1457-W1457)/T1457</f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>(T1458-W1458)/T1458</f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>AJ1458</f>
        <v>0</v>
      </c>
      <c r="AJ1458" s="2">
        <f>AI1458*T1458</f>
        <v>0</v>
      </c>
      <c r="AK1458" s="2">
        <f>T1458-W1458</f>
        <v>5.2949999999999999</v>
      </c>
      <c r="AL1458" s="5">
        <f>(T1458-W1458)/T1458</f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>(T1459-W1459)/T1459</f>
        <v>1</v>
      </c>
      <c r="Z1459" s="2" t="s">
        <v>170</v>
      </c>
      <c r="AA1459" s="2" t="s">
        <v>170</v>
      </c>
      <c r="AF1459" s="2">
        <f>AJ1459</f>
        <v>0</v>
      </c>
      <c r="AJ1459" s="2">
        <f>AI1459*T1459</f>
        <v>0</v>
      </c>
      <c r="AK1459" s="2">
        <f>T1459-W1459</f>
        <v>8.5</v>
      </c>
      <c r="AL1459" s="5">
        <f>(T1459-W1459)/T1459</f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>(T1460-W1460)/T1460</f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>AJ1460</f>
        <v>0</v>
      </c>
      <c r="AJ1460" s="2">
        <f>AI1460*T1460</f>
        <v>0</v>
      </c>
      <c r="AK1460" s="2">
        <f>T1460-W1460</f>
        <v>22.027999999999999</v>
      </c>
      <c r="AL1460" s="5">
        <f>(T1460-W1460)/T1460</f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>(T1461-W1461)/T1461</f>
        <v>1</v>
      </c>
      <c r="Z1461" s="2" t="s">
        <v>118</v>
      </c>
      <c r="AF1461" s="2">
        <f>AJ1461</f>
        <v>0</v>
      </c>
      <c r="AJ1461" s="2">
        <f>AI1461*T1461</f>
        <v>0</v>
      </c>
      <c r="AK1461" s="2">
        <f>T1461-W1461</f>
        <v>70.12</v>
      </c>
      <c r="AL1461" s="5">
        <f>(T1461-W1461)/T1461</f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>(T1462-W1462)/T1462</f>
        <v>1</v>
      </c>
      <c r="Z1462" s="2" t="s">
        <v>120</v>
      </c>
      <c r="AA1462" s="2" t="s">
        <v>3384</v>
      </c>
      <c r="AF1462" s="2">
        <f>AJ1462</f>
        <v>0</v>
      </c>
      <c r="AJ1462" s="2">
        <f>AI1462*T1462</f>
        <v>0</v>
      </c>
      <c r="AK1462" s="2">
        <f>T1462-W1462</f>
        <v>120.75</v>
      </c>
      <c r="AL1462" s="5">
        <f>(T1462-W1462)/T1462</f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>(T1463-W1463)/T1463</f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>AJ1463</f>
        <v>0</v>
      </c>
      <c r="AG1463" s="2">
        <v>8.1999999999999993</v>
      </c>
      <c r="AH1463" s="2">
        <v>13</v>
      </c>
      <c r="AJ1463" s="2">
        <f>AI1463*T1463</f>
        <v>0</v>
      </c>
      <c r="AK1463" s="2">
        <f>T1463-W1463</f>
        <v>36</v>
      </c>
      <c r="AL1463" s="5">
        <f>(T1463-W1463)/T1463</f>
        <v>0.18</v>
      </c>
    </row>
    <row r="1464" spans="1:38" x14ac:dyDescent="0.2">
      <c r="A1464" s="2">
        <v>2025</v>
      </c>
      <c r="B1464" s="2">
        <v>7</v>
      </c>
      <c r="C1464" s="2" t="s">
        <v>3428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>(T1464-W1464)/T1464</f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>AJ1464</f>
        <v>0</v>
      </c>
      <c r="AJ1464" s="2">
        <f>AI1464*T1464</f>
        <v>0</v>
      </c>
      <c r="AK1464" s="2">
        <f>T1464-W1464</f>
        <v>25.356000000000002</v>
      </c>
      <c r="AL1464" s="5">
        <f>(T1464-W1464)/T1464</f>
        <v>0.5090544067456334</v>
      </c>
    </row>
    <row r="1465" spans="1:38" x14ac:dyDescent="0.2">
      <c r="A1465" s="2">
        <v>2025</v>
      </c>
      <c r="B1465" s="2">
        <v>7</v>
      </c>
      <c r="C1465" s="2" t="s">
        <v>3428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>(T1465-W1465)/T1465</f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>AJ1465</f>
        <v>0</v>
      </c>
      <c r="AJ1465" s="2">
        <f>AI1465*T1465</f>
        <v>0</v>
      </c>
      <c r="AK1465" s="2">
        <f>T1465-W1465</f>
        <v>118.19999999999999</v>
      </c>
      <c r="AL1465" s="5">
        <f>(T1465-W1465)/T1465</f>
        <v>0.6</v>
      </c>
    </row>
    <row r="1466" spans="1:38" x14ac:dyDescent="0.2">
      <c r="A1466" s="2">
        <v>2025</v>
      </c>
      <c r="B1466" s="2">
        <v>7</v>
      </c>
      <c r="C1466" s="2" t="s">
        <v>3428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>(T1466-W1466)/T1466</f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>AJ1466</f>
        <v>0</v>
      </c>
      <c r="AJ1466" s="2">
        <f>AI1466*T1466</f>
        <v>0</v>
      </c>
      <c r="AK1466" s="2">
        <f>T1466-W1466</f>
        <v>25</v>
      </c>
      <c r="AL1466" s="5">
        <f>(T1466-W1466)/T1466</f>
        <v>0.5</v>
      </c>
    </row>
    <row r="1467" spans="1:38" x14ac:dyDescent="0.2">
      <c r="A1467" s="2">
        <v>2025</v>
      </c>
      <c r="B1467" s="2">
        <v>7</v>
      </c>
      <c r="C1467" s="2" t="s">
        <v>3428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>(T1467-W1467)/T1467</f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>AJ1467</f>
        <v>0</v>
      </c>
      <c r="AG1467" s="2">
        <v>117.453</v>
      </c>
      <c r="AH1467" s="2">
        <v>220</v>
      </c>
      <c r="AJ1467" s="2">
        <f>AI1467*T1467</f>
        <v>0</v>
      </c>
      <c r="AK1467" s="2">
        <f>T1467-W1467</f>
        <v>102.547</v>
      </c>
      <c r="AL1467" s="5">
        <f>(T1467-W1467)/T1467</f>
        <v>0.46612272727272724</v>
      </c>
    </row>
    <row r="1468" spans="1:38" x14ac:dyDescent="0.2">
      <c r="A1468" s="2">
        <v>2025</v>
      </c>
      <c r="B1468" s="2">
        <v>7</v>
      </c>
      <c r="C1468" s="2" t="s">
        <v>3428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>(T1468-W1468)/T1468</f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>AJ1468</f>
        <v>0</v>
      </c>
      <c r="AJ1468" s="2">
        <f>AI1468*T1468</f>
        <v>0</v>
      </c>
      <c r="AK1468" s="2">
        <f>T1468-W1468</f>
        <v>0</v>
      </c>
      <c r="AL1468" s="5">
        <f>(T1468-W1468)/T1468</f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>(T1469-W1469)/T1469</f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>AJ1469</f>
        <v>0</v>
      </c>
      <c r="AJ1469" s="2">
        <f>AI1469*T1469</f>
        <v>0</v>
      </c>
      <c r="AK1469" s="2">
        <f>T1469-W1469</f>
        <v>1900</v>
      </c>
      <c r="AL1469" s="5">
        <f>(T1469-W1469)/T1469</f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>AJ1470</f>
        <v>0</v>
      </c>
      <c r="AJ1470" s="2">
        <f>AI1470*T1470</f>
        <v>0</v>
      </c>
    </row>
    <row r="1471" spans="1:38" x14ac:dyDescent="0.2">
      <c r="A1471" s="2">
        <v>2025</v>
      </c>
      <c r="B1471" s="2">
        <v>7</v>
      </c>
      <c r="C1471" s="2" t="s">
        <v>3428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>AJ1471</f>
        <v>0</v>
      </c>
      <c r="AJ1471" s="2">
        <f>AI1471*T1471</f>
        <v>0</v>
      </c>
      <c r="AK1471" s="2">
        <f>T1471-W1471</f>
        <v>1023.1600000000001</v>
      </c>
      <c r="AL1471" s="5">
        <f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>(T1472-W1472)/T1472</f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>AJ1472</f>
        <v>0</v>
      </c>
      <c r="AJ1472" s="2">
        <f>AI1472*T1472</f>
        <v>0</v>
      </c>
      <c r="AK1472" s="2">
        <f>T1472-W1472</f>
        <v>30</v>
      </c>
      <c r="AL1472" s="5">
        <f>(T1472-W1472)/T1472</f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>(T1473-W1473)/T1473</f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>AJ1473</f>
        <v>0</v>
      </c>
      <c r="AJ1473" s="2">
        <f>AI1473*T1473</f>
        <v>0</v>
      </c>
      <c r="AK1473" s="2">
        <f>T1473-W1473</f>
        <v>50</v>
      </c>
      <c r="AL1473" s="5">
        <f>(T1473-W1473)/T1473</f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>(T1474-W1474)/T1474</f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>AJ1474</f>
        <v>0</v>
      </c>
      <c r="AJ1474" s="2">
        <f>AI1474*T1474</f>
        <v>0</v>
      </c>
      <c r="AK1474" s="2">
        <f>T1474-W1474</f>
        <v>2.7650000000000006</v>
      </c>
      <c r="AL1474" s="5">
        <f>(T1474-W1474)/T1474</f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>(T1475-W1475)/T1475</f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>AJ1475</f>
        <v>0</v>
      </c>
      <c r="AG1475" s="2">
        <v>10.6</v>
      </c>
      <c r="AH1475" s="2">
        <v>18</v>
      </c>
      <c r="AJ1475" s="2">
        <f>AI1475*T1475</f>
        <v>0</v>
      </c>
      <c r="AK1475" s="2">
        <f>T1475-W1475</f>
        <v>7.8000000000000007</v>
      </c>
      <c r="AL1475" s="5">
        <f>(T1475-W1475)/T1475</f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>(T1476-W1476)/T1476</f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>AJ1476</f>
        <v>0</v>
      </c>
      <c r="AG1476" s="2">
        <v>9.14</v>
      </c>
      <c r="AH1476" s="2">
        <v>16</v>
      </c>
      <c r="AJ1476" s="2">
        <f>AI1476*T1476</f>
        <v>0</v>
      </c>
      <c r="AK1476" s="2">
        <f>T1476-W1476</f>
        <v>2.8600000000000012</v>
      </c>
      <c r="AL1476" s="5">
        <f>(T1476-W1476)/T1476</f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>(T1477-W1477)/T1477</f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>AJ1477</f>
        <v>0</v>
      </c>
      <c r="AG1477" s="2">
        <v>8.1999999999999993</v>
      </c>
      <c r="AH1477" s="2">
        <v>13</v>
      </c>
      <c r="AJ1477" s="2">
        <f>AI1477*T1477</f>
        <v>0</v>
      </c>
      <c r="AK1477" s="2">
        <f>T1477-W1477</f>
        <v>5.3999999999999986</v>
      </c>
      <c r="AL1477" s="5">
        <f>(T1477-W1477)/T1477</f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>(T1478-W1478)/T1478</f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>AJ1478</f>
        <v>0</v>
      </c>
      <c r="AJ1478" s="2">
        <f>AI1478*T1478</f>
        <v>0</v>
      </c>
      <c r="AK1478" s="2">
        <f>T1478-W1478</f>
        <v>100.46</v>
      </c>
      <c r="AL1478" s="5">
        <f>(T1478-W1478)/T1478</f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>(T1479-W1479)/T1479</f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>AJ1479</f>
        <v>0</v>
      </c>
      <c r="AJ1479" s="2">
        <f>AI1479*T1479</f>
        <v>0</v>
      </c>
      <c r="AK1479" s="2">
        <f>T1479-W1479</f>
        <v>118.02</v>
      </c>
      <c r="AL1479" s="5">
        <f>(T1479-W1479)/T1479</f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>(T1480-W1480)/T1480</f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>AJ1480</f>
        <v>0</v>
      </c>
      <c r="AJ1480" s="2">
        <f>AI1480*T1480</f>
        <v>0</v>
      </c>
      <c r="AK1480" s="2">
        <f>T1480-W1480</f>
        <v>117.70999999999998</v>
      </c>
      <c r="AL1480" s="5">
        <f>(T1480-W1480)/T1480</f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>(T1481-W1481)/T1481</f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>AJ1481</f>
        <v>0</v>
      </c>
      <c r="AJ1481" s="2">
        <f>AI1481*T1481</f>
        <v>0</v>
      </c>
      <c r="AK1481" s="2">
        <f>T1481-W1481</f>
        <v>108.13999999999999</v>
      </c>
      <c r="AL1481" s="5">
        <f>(T1481-W1481)/T1481</f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>(T1482-W1482)/T1482</f>
        <v>0.08</v>
      </c>
      <c r="Z1482" s="2" t="s">
        <v>170</v>
      </c>
      <c r="AA1482" s="2" t="s">
        <v>170</v>
      </c>
      <c r="AF1482" s="2">
        <f>AJ1482</f>
        <v>0</v>
      </c>
      <c r="AJ1482" s="2">
        <f>AI1482*T1482</f>
        <v>0</v>
      </c>
      <c r="AK1482" s="2">
        <f>T1482-W1482</f>
        <v>4</v>
      </c>
      <c r="AL1482" s="5">
        <f>(T1482-W1482)/T1482</f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>(T1483-W1483)/T1483</f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>AJ1483</f>
        <v>0</v>
      </c>
      <c r="AJ1483" s="2">
        <f>AI1483*T1483</f>
        <v>0</v>
      </c>
      <c r="AK1483" s="2">
        <f>T1483-W1483</f>
        <v>0</v>
      </c>
      <c r="AL1483" s="5">
        <f>(T1483-W1483)/T1483</f>
        <v>0</v>
      </c>
    </row>
    <row r="1484" spans="1:38" x14ac:dyDescent="0.2">
      <c r="A1484" s="2">
        <v>2025</v>
      </c>
      <c r="B1484" s="2">
        <v>6</v>
      </c>
      <c r="C1484" s="2" t="s">
        <v>3397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>(T1484-W1484)/T1484</f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>AJ1484</f>
        <v>0</v>
      </c>
      <c r="AG1484" s="2">
        <v>5.2972999999999999</v>
      </c>
      <c r="AH1484" s="2">
        <v>10.8</v>
      </c>
      <c r="AJ1484" s="2">
        <f>AI1484*T1484</f>
        <v>0</v>
      </c>
      <c r="AK1484" s="2">
        <f>T1484-W1484</f>
        <v>8.6053999999999995</v>
      </c>
      <c r="AL1484" s="5">
        <f>(T1484-W1484)/T1484</f>
        <v>0.44819791666666664</v>
      </c>
    </row>
    <row r="1485" spans="1:38" x14ac:dyDescent="0.2">
      <c r="A1485" s="2">
        <v>2025</v>
      </c>
      <c r="B1485" s="2">
        <v>6</v>
      </c>
      <c r="C1485" s="2" t="s">
        <v>3397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>(T1485-W1485)/T1485</f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>AJ1485</f>
        <v>0</v>
      </c>
      <c r="AG1485" s="2">
        <v>10.6</v>
      </c>
      <c r="AH1485" s="2">
        <v>18</v>
      </c>
      <c r="AJ1485" s="2">
        <f>AI1485*T1485</f>
        <v>0</v>
      </c>
      <c r="AK1485" s="2">
        <f>T1485-W1485</f>
        <v>22.200000000000003</v>
      </c>
      <c r="AL1485" s="5">
        <f>(T1485-W1485)/T1485</f>
        <v>0.41111111111111115</v>
      </c>
    </row>
    <row r="1486" spans="1:38" x14ac:dyDescent="0.2">
      <c r="A1486" s="2">
        <v>2025</v>
      </c>
      <c r="B1486" s="2">
        <v>6</v>
      </c>
      <c r="C1486" s="2" t="s">
        <v>3397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>(T1486-W1486)/T1486</f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>AJ1486</f>
        <v>0</v>
      </c>
      <c r="AJ1486" s="2">
        <f>AI1486*T1486</f>
        <v>0</v>
      </c>
      <c r="AK1486" s="2">
        <f>T1486-W1486</f>
        <v>9.7200000000000024</v>
      </c>
      <c r="AL1486" s="5">
        <f>(T1486-W1486)/T1486</f>
        <v>0.34714285714285725</v>
      </c>
    </row>
    <row r="1487" spans="1:38" x14ac:dyDescent="0.2">
      <c r="A1487" s="2">
        <v>2025</v>
      </c>
      <c r="B1487" s="2">
        <v>6</v>
      </c>
      <c r="C1487" s="2" t="s">
        <v>3397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>(T1487-W1487)/T1487</f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>AJ1487</f>
        <v>0</v>
      </c>
      <c r="AJ1487" s="2">
        <f>AI1487*T1487</f>
        <v>0</v>
      </c>
      <c r="AK1487" s="2">
        <f>T1487-W1487</f>
        <v>13</v>
      </c>
      <c r="AL1487" s="5">
        <f>(T1487-W1487)/T1487</f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>(T1488-W1488)/T1488</f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>AJ1488</f>
        <v>0</v>
      </c>
      <c r="AJ1488" s="2">
        <f>AI1488*T1488</f>
        <v>0</v>
      </c>
      <c r="AK1488" s="2">
        <f>T1488-W1488</f>
        <v>80.400000000000006</v>
      </c>
      <c r="AL1488" s="5">
        <f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>(T1489-W1489)/T1489</f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>AJ1489</f>
        <v>0</v>
      </c>
      <c r="AJ1489" s="2">
        <f>AI1489*T1489</f>
        <v>0</v>
      </c>
      <c r="AK1489" s="2">
        <f>T1489-W1489</f>
        <v>50</v>
      </c>
      <c r="AL1489" s="5">
        <f>(T1489-W1489)/T1489</f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L1490" s="2" t="s">
        <v>178</v>
      </c>
      <c r="M1490" s="2" t="s">
        <v>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>(T1490-W1490)/T1490</f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>AJ1490</f>
        <v>0</v>
      </c>
      <c r="AG1490" s="2">
        <v>10.6</v>
      </c>
      <c r="AH1490" s="2">
        <v>18</v>
      </c>
      <c r="AJ1490" s="2">
        <f>AI1490*T1490</f>
        <v>0</v>
      </c>
      <c r="AK1490" s="2">
        <f>T1490-W1490</f>
        <v>64</v>
      </c>
      <c r="AL1490" s="5">
        <f>(T1490-W1490)/T1490</f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L1491" s="2" t="s">
        <v>178</v>
      </c>
      <c r="M1491" s="2" t="s">
        <v>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>(T1491-W1491)/T1491</f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>AJ1491</f>
        <v>0</v>
      </c>
      <c r="AG1491" s="2">
        <v>8.1999999999999993</v>
      </c>
      <c r="AH1491" s="2">
        <v>13</v>
      </c>
      <c r="AJ1491" s="2">
        <f>AI1491*T1491</f>
        <v>0</v>
      </c>
      <c r="AK1491" s="2">
        <f>T1491-W1491</f>
        <v>14</v>
      </c>
      <c r="AL1491" s="5">
        <f>(T1491-W1491)/T1491</f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L1492" s="2" t="s">
        <v>178</v>
      </c>
      <c r="M1492" s="2" t="s">
        <v>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>(T1492-W1492)/T1492</f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>AJ1492</f>
        <v>0</v>
      </c>
      <c r="AG1492" s="2">
        <v>15.020300000000001</v>
      </c>
      <c r="AH1492" s="2">
        <v>27.6</v>
      </c>
      <c r="AJ1492" s="2">
        <f>AI1492*T1492</f>
        <v>0</v>
      </c>
      <c r="AK1492" s="2">
        <f>T1492-W1492</f>
        <v>24.898499999999999</v>
      </c>
      <c r="AL1492" s="5">
        <f>(T1492-W1492)/T1492</f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>(T1493-W1493)/T1493</f>
        <v>1</v>
      </c>
      <c r="Z1493" s="2" t="s">
        <v>118</v>
      </c>
      <c r="AF1493" s="2">
        <f>AJ1493</f>
        <v>0</v>
      </c>
      <c r="AJ1493" s="2">
        <f>AI1493*T1493</f>
        <v>0</v>
      </c>
      <c r="AK1493" s="2">
        <f>T1493-W1493</f>
        <v>390.29</v>
      </c>
      <c r="AL1493" s="5">
        <f>(T1493-W1493)/T1493</f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>(T1494-W1494)/T1494</f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>AJ1494</f>
        <v>0</v>
      </c>
      <c r="AJ1494" s="2">
        <f>AI1494*T1494</f>
        <v>0</v>
      </c>
      <c r="AK1494" s="2">
        <f>T1494-W1494</f>
        <v>22.027999999999999</v>
      </c>
      <c r="AL1494" s="5">
        <f>(T1494-W1494)/T1494</f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>(T1495-W1495)/T1495</f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>AJ1495</f>
        <v>0</v>
      </c>
      <c r="AJ1495" s="2">
        <f>AI1495*T1495</f>
        <v>0</v>
      </c>
      <c r="AK1495" s="2">
        <f>T1495-W1495</f>
        <v>152.41</v>
      </c>
      <c r="AL1495" s="5">
        <f>(T1495-W1495)/T1495</f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>(T1496-W1496)/T1496</f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>AJ1496</f>
        <v>0</v>
      </c>
      <c r="AG1496" s="2">
        <v>5.33</v>
      </c>
      <c r="AJ1496" s="2">
        <f>AI1496*T1496</f>
        <v>0</v>
      </c>
      <c r="AK1496" s="2">
        <f>T1496-W1496</f>
        <v>35.83</v>
      </c>
      <c r="AL1496" s="5">
        <f>(T1496-W1496)/T1496</f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>(T1497-W1497)/T1497</f>
        <v>1</v>
      </c>
      <c r="Z1497" s="2" t="s">
        <v>170</v>
      </c>
      <c r="AA1497" s="2" t="s">
        <v>170</v>
      </c>
      <c r="AF1497" s="2">
        <f>AJ1497</f>
        <v>0</v>
      </c>
      <c r="AJ1497" s="2">
        <f>AI1497*T1497</f>
        <v>0</v>
      </c>
      <c r="AK1497" s="2">
        <f>T1497-W1497</f>
        <v>7</v>
      </c>
      <c r="AL1497" s="5">
        <f>(T1497-W1497)/T1497</f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>(T1498-W1498)/T1498</f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>AJ1498</f>
        <v>0</v>
      </c>
      <c r="AJ1498" s="2">
        <f>AI1498*T1498</f>
        <v>0</v>
      </c>
      <c r="AK1498" s="2">
        <f>T1498-W1498</f>
        <v>800</v>
      </c>
      <c r="AL1498" s="5">
        <f>(T1498-W1498)/T1498</f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>(T1499-W1499)/T1499</f>
        <v>1</v>
      </c>
      <c r="Z1499" s="2" t="s">
        <v>120</v>
      </c>
      <c r="AA1499" s="2" t="s">
        <v>3384</v>
      </c>
      <c r="AF1499" s="2">
        <f>AJ1499</f>
        <v>0</v>
      </c>
      <c r="AJ1499" s="2">
        <f>AI1499*T1499</f>
        <v>0</v>
      </c>
      <c r="AK1499" s="2">
        <f>T1499-W1499</f>
        <v>21.6</v>
      </c>
      <c r="AL1499" s="5">
        <f>(T1499-W1499)/T1499</f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>(T1500-W1500)/T1500</f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>AJ1500</f>
        <v>0</v>
      </c>
      <c r="AJ1500" s="2">
        <f>AI1500*T1500</f>
        <v>0</v>
      </c>
      <c r="AK1500" s="2">
        <f>T1500-W1500</f>
        <v>1186.9499999999998</v>
      </c>
      <c r="AL1500" s="5">
        <f>(T1500-W1500)/T1500</f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>(T1501-W1501)/T1501</f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>AJ1501</f>
        <v>0</v>
      </c>
      <c r="AJ1501" s="2">
        <f>AI1501*T1501</f>
        <v>0</v>
      </c>
      <c r="AK1501" s="2">
        <f>T1501-W1501</f>
        <v>427.27660000000003</v>
      </c>
      <c r="AL1501" s="5">
        <f>(T1501-W1501)/T1501</f>
        <v>0.44507979166666672</v>
      </c>
    </row>
    <row r="1502" spans="1:38" x14ac:dyDescent="0.2">
      <c r="A1502" s="2">
        <v>2025</v>
      </c>
      <c r="B1502" s="2">
        <v>6</v>
      </c>
      <c r="C1502" s="2" t="s">
        <v>3421</v>
      </c>
      <c r="D1502" s="2" t="s">
        <v>3420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>(T1502-W1502)/T1502</f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>AJ1502</f>
        <v>0</v>
      </c>
      <c r="AJ1502" s="2">
        <f>AI1502*T1502</f>
        <v>0</v>
      </c>
      <c r="AK1502" s="2">
        <f>T1502-W1502</f>
        <v>445.75549999999998</v>
      </c>
      <c r="AL1502" s="5">
        <f>(T1502-W1502)/T1502</f>
        <v>0.26376065088757394</v>
      </c>
    </row>
    <row r="1503" spans="1:38" x14ac:dyDescent="0.2">
      <c r="A1503" s="2">
        <v>2025</v>
      </c>
      <c r="B1503" s="2">
        <v>6</v>
      </c>
      <c r="C1503" s="2" t="s">
        <v>3421</v>
      </c>
      <c r="D1503" s="2" t="s">
        <v>3420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>(T1503-W1503)/T1503</f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>AJ1503</f>
        <v>0</v>
      </c>
      <c r="AJ1503" s="2">
        <f>AI1503*T1503</f>
        <v>0</v>
      </c>
      <c r="AK1503" s="2">
        <f>T1503-W1503</f>
        <v>4320.6000000000004</v>
      </c>
      <c r="AL1503" s="5">
        <f>(T1503-W1503)/T1503</f>
        <v>0.28823215476984659</v>
      </c>
    </row>
    <row r="1504" spans="1:38" x14ac:dyDescent="0.2">
      <c r="A1504" s="2">
        <v>2025</v>
      </c>
      <c r="B1504" s="2">
        <v>6</v>
      </c>
      <c r="C1504" s="2" t="s">
        <v>3421</v>
      </c>
      <c r="D1504" s="2" t="s">
        <v>3420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>(T1504-W1504)/T1504</f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>AJ1504</f>
        <v>0</v>
      </c>
      <c r="AJ1504" s="2">
        <f>AI1504*T1504</f>
        <v>0</v>
      </c>
      <c r="AK1504" s="2">
        <f>T1504-W1504</f>
        <v>1300.81</v>
      </c>
      <c r="AL1504" s="5">
        <f>(T1504-W1504)/T1504</f>
        <v>0.28401965065502183</v>
      </c>
    </row>
    <row r="1505" spans="1:38" x14ac:dyDescent="0.2">
      <c r="A1505" s="2">
        <v>2025</v>
      </c>
      <c r="B1505" s="2">
        <v>6</v>
      </c>
      <c r="C1505" s="2" t="s">
        <v>3421</v>
      </c>
      <c r="D1505" s="2" t="s">
        <v>3420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>(T1505-W1505)/T1505</f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>AJ1505</f>
        <v>0</v>
      </c>
      <c r="AJ1505" s="2">
        <f>AI1505*T1505</f>
        <v>0</v>
      </c>
      <c r="AK1505" s="2">
        <f>T1505-W1505</f>
        <v>1347.37</v>
      </c>
      <c r="AL1505" s="5">
        <f>(T1505-W1505)/T1505</f>
        <v>0.28728571428571426</v>
      </c>
    </row>
    <row r="1506" spans="1:38" x14ac:dyDescent="0.2">
      <c r="A1506" s="2">
        <v>2025</v>
      </c>
      <c r="B1506" s="2">
        <v>6</v>
      </c>
      <c r="C1506" s="2" t="s">
        <v>3421</v>
      </c>
      <c r="D1506" s="2" t="s">
        <v>3420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>(T1506-W1506)/T1506</f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>AJ1506</f>
        <v>0</v>
      </c>
      <c r="AJ1506" s="2">
        <f>AI1506*T1506</f>
        <v>0</v>
      </c>
      <c r="AK1506" s="2">
        <f>T1506-W1506</f>
        <v>5351.66</v>
      </c>
      <c r="AL1506" s="5">
        <f>(T1506-W1506)/T1506</f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>(T1507-W1507)/T1507</f>
        <v>1</v>
      </c>
      <c r="Z1507" s="2" t="s">
        <v>118</v>
      </c>
      <c r="AF1507" s="2">
        <f>AJ1507</f>
        <v>0</v>
      </c>
      <c r="AJ1507" s="2">
        <f>AI1507*T1507</f>
        <v>0</v>
      </c>
      <c r="AK1507" s="2">
        <f>T1507-W1507</f>
        <v>80.7</v>
      </c>
      <c r="AL1507" s="5">
        <f>(T1507-W1507)/T1507</f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>(T1508-W1508)/T1508</f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>AJ1508</f>
        <v>0</v>
      </c>
      <c r="AJ1508" s="2">
        <f>AI1508*T1508</f>
        <v>0</v>
      </c>
      <c r="AK1508" s="2">
        <f>T1508-W1508</f>
        <v>17.650000000000006</v>
      </c>
      <c r="AL1508" s="5">
        <f>(T1508-W1508)/T1508</f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>(T1509-W1509)/T1509</f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>AJ1509</f>
        <v>0</v>
      </c>
      <c r="AJ1509" s="2">
        <f>AI1509*T1509</f>
        <v>0</v>
      </c>
      <c r="AK1509" s="2">
        <f>T1509-W1509</f>
        <v>1160.8866</v>
      </c>
      <c r="AL1509" s="5">
        <f>(T1509-W1509)/T1509</f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>(T1510-W1510)/T1510</f>
        <v>1</v>
      </c>
      <c r="Z1510" s="2" t="s">
        <v>118</v>
      </c>
      <c r="AF1510" s="2">
        <f>AJ1510</f>
        <v>0</v>
      </c>
      <c r="AJ1510" s="2">
        <f>AI1510*T1510</f>
        <v>0</v>
      </c>
      <c r="AK1510" s="2">
        <f>T1510-W1510</f>
        <v>1120.44</v>
      </c>
      <c r="AL1510" s="5">
        <f>(T1510-W1510)/T1510</f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>(T1511-W1511)/T1511</f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>AJ1511</f>
        <v>0</v>
      </c>
      <c r="AJ1511" s="2">
        <f>AI1511*T1511</f>
        <v>0</v>
      </c>
      <c r="AK1511" s="2">
        <f>T1511-W1511</f>
        <v>22.5</v>
      </c>
      <c r="AL1511" s="5">
        <f>(T1511-W1511)/T1511</f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>(T1512-W1512)/T1512</f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>AJ1512</f>
        <v>0</v>
      </c>
      <c r="AJ1512" s="2">
        <f>AI1512*T1512</f>
        <v>0</v>
      </c>
      <c r="AK1512" s="2">
        <f>T1512-W1512</f>
        <v>135</v>
      </c>
      <c r="AL1512" s="5">
        <f>(T1512-W1512)/T1512</f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>AJ1513</f>
        <v>0</v>
      </c>
      <c r="AJ1513" s="2">
        <f>AI1513*T1513</f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>AJ1514</f>
        <v>0</v>
      </c>
      <c r="AJ1514" s="2">
        <f>AI1514*T1514</f>
        <v>0</v>
      </c>
      <c r="AK1514" s="2">
        <f>T1514-W1514</f>
        <v>106.28100000000001</v>
      </c>
      <c r="AL1514" s="5">
        <f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>AJ1515</f>
        <v>0</v>
      </c>
      <c r="AJ1515" s="2">
        <f>AI1515*T1515</f>
        <v>0</v>
      </c>
      <c r="AK1515" s="2">
        <f>T1515-W1515</f>
        <v>100.65799999999999</v>
      </c>
      <c r="AL1515" s="5">
        <f>(T1515-W1515)/T1515</f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>AJ1516</f>
        <v>0</v>
      </c>
      <c r="AG1516" s="2">
        <v>117.453</v>
      </c>
      <c r="AH1516" s="2">
        <v>220</v>
      </c>
      <c r="AJ1516" s="2">
        <f>AI1516*T1516</f>
        <v>0</v>
      </c>
      <c r="AK1516" s="2">
        <f>T1516-W1516</f>
        <v>0</v>
      </c>
      <c r="AL1516" s="5" t="e">
        <f>(T1516-W1516)/T1516</f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>AJ1517</f>
        <v>0</v>
      </c>
      <c r="AJ1517" s="2">
        <f>AI1517*T1517</f>
        <v>0</v>
      </c>
      <c r="AK1517" s="2">
        <f>T1517-W1517</f>
        <v>0</v>
      </c>
      <c r="AL1517" s="5" t="e">
        <f>(T1517-W1517)/T1517</f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>AJ1518</f>
        <v>0</v>
      </c>
      <c r="AJ1518" s="2">
        <f>AI1518*T1518</f>
        <v>0</v>
      </c>
      <c r="AK1518" s="2">
        <f>T1518-W1518</f>
        <v>30</v>
      </c>
      <c r="AL1518" s="5">
        <f>(T1518-W1518)/T1518</f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>(T1519-W1519)/T1519</f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>AJ1519</f>
        <v>0</v>
      </c>
      <c r="AJ1519" s="2">
        <f>AI1519*T1519</f>
        <v>0</v>
      </c>
      <c r="AK1519" s="2">
        <f>T1519-W1519</f>
        <v>25</v>
      </c>
      <c r="AL1519" s="5">
        <f>(T1519-W1519)/T1519</f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>(T1520-W1520)/T1520</f>
        <v>1</v>
      </c>
      <c r="Z1520" s="2" t="s">
        <v>120</v>
      </c>
      <c r="AA1520" s="2" t="s">
        <v>3384</v>
      </c>
      <c r="AF1520" s="2">
        <f>AJ1520</f>
        <v>0</v>
      </c>
      <c r="AJ1520" s="2">
        <f>AI1520*T1520</f>
        <v>0</v>
      </c>
      <c r="AK1520" s="2">
        <f>T1520-W1520</f>
        <v>303</v>
      </c>
      <c r="AL1520" s="5">
        <f>(T1520-W1520)/T1520</f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>(T1521-W1521)/T1521</f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>AJ1521</f>
        <v>0</v>
      </c>
      <c r="AG1521" s="2">
        <v>117.453</v>
      </c>
      <c r="AH1521" s="2">
        <v>220</v>
      </c>
      <c r="AJ1521" s="2">
        <f>AI1521*T1521</f>
        <v>0</v>
      </c>
      <c r="AK1521" s="2">
        <f>T1521-W1521</f>
        <v>92.546999999999997</v>
      </c>
      <c r="AL1521" s="5">
        <f>(T1521-W1521)/T1521</f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>(T1522-W1522)/T1522</f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>AJ1522</f>
        <v>0</v>
      </c>
      <c r="AJ1522" s="2">
        <f>AI1522*T1522</f>
        <v>0</v>
      </c>
      <c r="AK1522" s="2">
        <f>T1522-W1522</f>
        <v>0</v>
      </c>
      <c r="AL1522" s="5">
        <f>(T1522-W1522)/T1522</f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>(T1523-W1523)/T1523</f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>AJ1523</f>
        <v>0</v>
      </c>
      <c r="AJ1523" s="2">
        <f>AI1523*T1523</f>
        <v>0</v>
      </c>
      <c r="AK1523" s="2">
        <f>T1523-W1523</f>
        <v>23.35</v>
      </c>
      <c r="AL1523" s="5">
        <f>(T1523-W1523)/T1523</f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>(T1524-W1524)/T1524</f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>AJ1524</f>
        <v>0</v>
      </c>
      <c r="AG1524" s="2">
        <v>117.453</v>
      </c>
      <c r="AH1524" s="2">
        <v>220</v>
      </c>
      <c r="AJ1524" s="2">
        <f>AI1524*T1524</f>
        <v>0</v>
      </c>
      <c r="AK1524" s="2">
        <f>T1524-W1524</f>
        <v>82.546999999999997</v>
      </c>
      <c r="AL1524" s="5">
        <f>(T1524-W1524)/T1524</f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>(T1525-W1525)/T1525</f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>AJ1525</f>
        <v>0</v>
      </c>
      <c r="AG1525" s="2">
        <v>1.1399999999999999</v>
      </c>
      <c r="AH1525" s="2">
        <v>1.1399999999999999</v>
      </c>
      <c r="AJ1525" s="2">
        <f>AI1525*T1525</f>
        <v>0</v>
      </c>
      <c r="AK1525" s="2">
        <f>T1525-W1525</f>
        <v>0</v>
      </c>
      <c r="AL1525" s="5">
        <f>(T1525-W1525)/T1525</f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>(T1526-W1526)/T1526</f>
        <v>1</v>
      </c>
      <c r="Z1526" s="2" t="s">
        <v>118</v>
      </c>
      <c r="AF1526" s="2">
        <f>AJ1526</f>
        <v>0</v>
      </c>
      <c r="AJ1526" s="2">
        <f>AI1526*T1526</f>
        <v>0</v>
      </c>
      <c r="AK1526" s="2">
        <f>T1526-W1526</f>
        <v>73.69</v>
      </c>
      <c r="AL1526" s="5">
        <f>(T1526-W1526)/T1526</f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>(T1527-W1527)/T1527</f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>AJ1527</f>
        <v>0</v>
      </c>
      <c r="AJ1527" s="2">
        <f>AI1527*T1527</f>
        <v>0</v>
      </c>
      <c r="AK1527" s="2">
        <f>T1527-W1527</f>
        <v>128.39999999999998</v>
      </c>
      <c r="AL1527" s="5">
        <f>(T1527-W1527)/T1527</f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>(T1528-W1528)/T1528</f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>AJ1528</f>
        <v>0</v>
      </c>
      <c r="AJ1528" s="2">
        <f>AI1528*T1528</f>
        <v>0</v>
      </c>
      <c r="AK1528" s="2">
        <f>T1528-W1528</f>
        <v>45</v>
      </c>
      <c r="AL1528" s="5">
        <f>(T1528-W1528)/T1528</f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>(T1529-W1529)/T1529</f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>AJ1529</f>
        <v>0</v>
      </c>
      <c r="AJ1529" s="2">
        <f>AI1529*T1529</f>
        <v>0</v>
      </c>
      <c r="AK1529" s="2">
        <f>T1529-W1529</f>
        <v>35</v>
      </c>
      <c r="AL1529" s="5">
        <f>(T1529-W1529)/T1529</f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>(T1530-W1530)/T1530</f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>AJ1530</f>
        <v>0</v>
      </c>
      <c r="AJ1530" s="2">
        <f>AI1530*T1530</f>
        <v>0</v>
      </c>
      <c r="AK1530" s="2">
        <f>T1530-W1530</f>
        <v>22.027999999999999</v>
      </c>
      <c r="AL1530" s="5">
        <f>(T1530-W1530)/T1530</f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>(T1531-W1531)/T1531</f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>AJ1531</f>
        <v>0</v>
      </c>
      <c r="AJ1531" s="2">
        <f>AI1531*T1531</f>
        <v>0</v>
      </c>
      <c r="AK1531" s="2">
        <f>T1531-W1531</f>
        <v>22.027999999999999</v>
      </c>
      <c r="AL1531" s="5">
        <f>(T1531-W1531)/T1531</f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>(T1532-W1532)/T1532</f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>AJ1532</f>
        <v>0</v>
      </c>
      <c r="AJ1532" s="2">
        <f>AI1532*T1532</f>
        <v>0</v>
      </c>
      <c r="AK1532" s="2">
        <f>T1532-W1532</f>
        <v>30</v>
      </c>
      <c r="AL1532" s="5">
        <f>(T1532-W1532)/T1532</f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>(T1533-W1533)/T1533</f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>AJ1533</f>
        <v>0</v>
      </c>
      <c r="AJ1533" s="2">
        <f>AI1533*T1533</f>
        <v>0</v>
      </c>
      <c r="AK1533" s="2">
        <f>T1533-W1533</f>
        <v>25</v>
      </c>
      <c r="AL1533" s="5">
        <f>(T1533-W1533)/T1533</f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>(T1534-W1534)/T1534</f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>AJ1534</f>
        <v>0</v>
      </c>
      <c r="AJ1534" s="2">
        <f>AI1534*T1534</f>
        <v>0</v>
      </c>
      <c r="AK1534" s="2">
        <f>T1534-W1534</f>
        <v>119.39999999999999</v>
      </c>
      <c r="AL1534" s="5">
        <f>(T1534-W1534)/T1534</f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>(T1535-W1535)/T1535</f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>AJ1535</f>
        <v>0</v>
      </c>
      <c r="AG1535" s="2">
        <v>75</v>
      </c>
      <c r="AJ1535" s="2">
        <f>AI1535*T1535</f>
        <v>0</v>
      </c>
      <c r="AK1535" s="2">
        <f>T1535-W1535</f>
        <v>75</v>
      </c>
      <c r="AL1535" s="5">
        <f>(T1535-W1535)/T1535</f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>(T1536-W1536)/T1536</f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>AJ1536</f>
        <v>0</v>
      </c>
      <c r="AJ1536" s="2">
        <f>AI1536*T1536</f>
        <v>0</v>
      </c>
      <c r="AK1536" s="2">
        <f>T1536-W1536</f>
        <v>278</v>
      </c>
      <c r="AL1536" s="5">
        <f>(T1536-W1536)/T1536</f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>(T1537-W1537)/T1537</f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>AJ1537</f>
        <v>0</v>
      </c>
      <c r="AG1537" s="2">
        <v>121.46</v>
      </c>
      <c r="AH1537" s="2">
        <v>210</v>
      </c>
      <c r="AJ1537" s="2">
        <f>AI1537*T1537</f>
        <v>0</v>
      </c>
      <c r="AK1537" s="2">
        <f>T1537-W1537</f>
        <v>88.54</v>
      </c>
      <c r="AL1537" s="5">
        <f>(T1537-W1537)/T1537</f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>(T1538-W1538)/T1538</f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>AJ1538</f>
        <v>0</v>
      </c>
      <c r="AJ1538" s="2">
        <f>AI1538*T1538</f>
        <v>0</v>
      </c>
      <c r="AK1538" s="2">
        <f>T1538-W1538</f>
        <v>0</v>
      </c>
      <c r="AL1538" s="5">
        <f>(T1538-W1538)/T1538</f>
        <v>0</v>
      </c>
    </row>
    <row r="1539" spans="1:38" x14ac:dyDescent="0.2">
      <c r="A1539" s="2">
        <v>2025</v>
      </c>
      <c r="B1539" s="2">
        <v>6</v>
      </c>
      <c r="C1539" s="2" t="s">
        <v>3397</v>
      </c>
      <c r="D1539" s="2" t="s">
        <v>3411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>(T1539-W1539)/T1539</f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>AJ1539</f>
        <v>0</v>
      </c>
      <c r="AG1539" s="2">
        <v>796.8</v>
      </c>
      <c r="AJ1539" s="2">
        <f>AI1539*T1539</f>
        <v>0</v>
      </c>
      <c r="AK1539" s="2">
        <f>T1539-W1539</f>
        <v>179.20000000000005</v>
      </c>
      <c r="AL1539" s="5">
        <f>(T1539-W1539)/T1539</f>
        <v>0.18360655737704923</v>
      </c>
    </row>
    <row r="1540" spans="1:38" x14ac:dyDescent="0.2">
      <c r="A1540" s="2">
        <v>2025</v>
      </c>
      <c r="B1540" s="2">
        <v>6</v>
      </c>
      <c r="C1540" s="2" t="s">
        <v>3397</v>
      </c>
      <c r="D1540" s="2" t="s">
        <v>3411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>(T1540-W1540)/T1540</f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>AJ1540</f>
        <v>0</v>
      </c>
      <c r="AG1540" s="2">
        <f>305.4+19.25</f>
        <v>324.64999999999998</v>
      </c>
      <c r="AJ1540" s="2">
        <f>AI1540*T1540</f>
        <v>0</v>
      </c>
      <c r="AK1540" s="2">
        <f>T1540-W1540</f>
        <v>25.350000000000023</v>
      </c>
      <c r="AL1540" s="5">
        <f>(T1540-W1540)/T1540</f>
        <v>7.2428571428571495E-2</v>
      </c>
    </row>
    <row r="1541" spans="1:38" x14ac:dyDescent="0.2">
      <c r="A1541" s="2">
        <v>2025</v>
      </c>
      <c r="B1541" s="2">
        <v>6</v>
      </c>
      <c r="C1541" s="2" t="s">
        <v>3397</v>
      </c>
      <c r="D1541" s="2" t="s">
        <v>3411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>(T1541-W1541)/T1541</f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>AJ1541</f>
        <v>0</v>
      </c>
      <c r="AG1541" s="2">
        <v>319.5</v>
      </c>
      <c r="AJ1541" s="2">
        <f>AI1541*T1541</f>
        <v>0</v>
      </c>
      <c r="AK1541" s="2">
        <f>T1541-W1541</f>
        <v>74.5</v>
      </c>
      <c r="AL1541" s="5">
        <f>(T1541-W1541)/T1541</f>
        <v>0.18908629441624367</v>
      </c>
    </row>
    <row r="1542" spans="1:38" x14ac:dyDescent="0.2">
      <c r="A1542" s="2">
        <v>2025</v>
      </c>
      <c r="B1542" s="2">
        <v>6</v>
      </c>
      <c r="C1542" s="2" t="s">
        <v>3397</v>
      </c>
      <c r="D1542" s="2" t="s">
        <v>3411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>(T1542-W1542)/T1542</f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>AJ1542</f>
        <v>0</v>
      </c>
      <c r="AG1542" s="2">
        <v>399.2</v>
      </c>
      <c r="AJ1542" s="2">
        <f>AI1542*T1542</f>
        <v>0</v>
      </c>
      <c r="AK1542" s="2">
        <f>T1542-W1542</f>
        <v>350.8</v>
      </c>
      <c r="AL1542" s="5">
        <f>(T1542-W1542)/T1542</f>
        <v>0.46773333333333333</v>
      </c>
    </row>
    <row r="1543" spans="1:38" x14ac:dyDescent="0.2">
      <c r="A1543" s="2">
        <v>2025</v>
      </c>
      <c r="B1543" s="2">
        <v>6</v>
      </c>
      <c r="C1543" s="2" t="s">
        <v>3397</v>
      </c>
      <c r="D1543" s="2" t="s">
        <v>3411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>(T1543-W1543)/T1543</f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>AJ1543</f>
        <v>0</v>
      </c>
      <c r="AG1543" s="2">
        <f>7734.84+638.76</f>
        <v>8373.6</v>
      </c>
      <c r="AJ1543" s="2">
        <f>AI1543*T1543</f>
        <v>0</v>
      </c>
      <c r="AK1543" s="2">
        <f>T1543-W1543</f>
        <v>3376.3999999999996</v>
      </c>
      <c r="AL1543" s="5">
        <f>(T1543-W1543)/T1543</f>
        <v>0.28735319148936167</v>
      </c>
    </row>
    <row r="1544" spans="1:38" x14ac:dyDescent="0.2">
      <c r="A1544" s="2">
        <v>2025</v>
      </c>
      <c r="B1544" s="2">
        <v>6</v>
      </c>
      <c r="C1544" s="2" t="s">
        <v>3397</v>
      </c>
      <c r="D1544" s="2" t="s">
        <v>3411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>(T1544-W1544)/T1544</f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>AJ1544</f>
        <v>0</v>
      </c>
      <c r="AG1544" s="2">
        <f>2084.42+172</f>
        <v>2256.42</v>
      </c>
      <c r="AJ1544" s="2">
        <f>AI1544*T1544</f>
        <v>0</v>
      </c>
      <c r="AK1544" s="2">
        <f>T1544-W1544</f>
        <v>3343.58</v>
      </c>
      <c r="AL1544" s="5">
        <f>(T1544-W1544)/T1544</f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>(T1545-W1545)/T1545</f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>AJ1545</f>
        <v>0</v>
      </c>
      <c r="AJ1545" s="2">
        <f>AI1545*T1545</f>
        <v>0</v>
      </c>
      <c r="AK1545" s="2">
        <f>T1545-W1545</f>
        <v>20</v>
      </c>
      <c r="AL1545" s="5">
        <f>(T1545-W1545)/T1545</f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>(T1546-W1546)/T1546</f>
        <v>1</v>
      </c>
      <c r="Z1546" s="2" t="s">
        <v>118</v>
      </c>
      <c r="AF1546" s="2">
        <f>AJ1546</f>
        <v>0</v>
      </c>
      <c r="AJ1546" s="2">
        <f>AI1546*T1546</f>
        <v>0</v>
      </c>
      <c r="AK1546" s="2">
        <f>T1546-W1546</f>
        <v>108.89</v>
      </c>
      <c r="AL1546" s="5">
        <f>(T1546-W1546)/T1546</f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>(T1547-W1547)/T1547</f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>AJ1547</f>
        <v>0</v>
      </c>
      <c r="AJ1547" s="2">
        <f>AI1547*T1547</f>
        <v>0</v>
      </c>
      <c r="AK1547" s="2">
        <f>T1547-W1547</f>
        <v>60.75</v>
      </c>
      <c r="AL1547" s="5">
        <f>(T1547-W1547)/T1547</f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>(T1548-W1548)/T1548</f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>AJ1548</f>
        <v>0</v>
      </c>
      <c r="AJ1548" s="2">
        <f>AI1548*T1548</f>
        <v>0</v>
      </c>
      <c r="AK1548" s="2">
        <f>T1548-W1548</f>
        <v>33.299999999999997</v>
      </c>
      <c r="AL1548" s="5">
        <f>(T1548-W1548)/T1548</f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>(T1549-W1549)/T1549</f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>AJ1549</f>
        <v>0</v>
      </c>
      <c r="AJ1549" s="2">
        <f>AI1549*T1549</f>
        <v>0</v>
      </c>
      <c r="AK1549" s="2">
        <f>T1549-W1549</f>
        <v>16.875</v>
      </c>
      <c r="AL1549" s="5">
        <f>(T1549-W1549)/T1549</f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>(T1550-W1550)/T1550</f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>AJ1550</f>
        <v>0</v>
      </c>
      <c r="AJ1550" s="2">
        <f>AI1550*T1550</f>
        <v>0</v>
      </c>
      <c r="AK1550" s="2">
        <f>T1550-W1550</f>
        <v>9320.6</v>
      </c>
      <c r="AL1550" s="5">
        <f>(T1550-W1550)/T1550</f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>(T1551-W1551)/T1551</f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>AJ1551</f>
        <v>0</v>
      </c>
      <c r="AG1551" s="2">
        <v>111.98</v>
      </c>
      <c r="AH1551" s="2">
        <v>210</v>
      </c>
      <c r="AJ1551" s="2">
        <f>AI1551*T1551</f>
        <v>0</v>
      </c>
      <c r="AK1551" s="2">
        <f>T1551-W1551</f>
        <v>98.02</v>
      </c>
      <c r="AL1551" s="5">
        <f>(T1551-W1551)/T1551</f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>(T1552-W1552)/T1552</f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>AJ1552</f>
        <v>0</v>
      </c>
      <c r="AJ1552" s="2">
        <f>AI1552*T1552</f>
        <v>0</v>
      </c>
      <c r="AK1552" s="2">
        <f>T1552-W1552</f>
        <v>0</v>
      </c>
      <c r="AL1552" s="5">
        <f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>AJ1553</f>
        <v>0</v>
      </c>
      <c r="AJ1553" s="2">
        <f>AI1553*T1553</f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>AJ1554</f>
        <v>0</v>
      </c>
      <c r="AJ1554" s="2">
        <f>AI1554*T1554</f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>AJ1555</f>
        <v>0</v>
      </c>
      <c r="AJ1555" s="2">
        <f>AI1555*T1555</f>
        <v>0</v>
      </c>
      <c r="AK1555" s="2">
        <f>T1555-W1555</f>
        <v>103.2</v>
      </c>
      <c r="AL1555" s="5">
        <f>(T1555-W1555)/T1555</f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>(T1556-W1556)/T1556</f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>AJ1556</f>
        <v>0</v>
      </c>
      <c r="AJ1556" s="2">
        <f>AI1556*T1556</f>
        <v>0</v>
      </c>
      <c r="AK1556" s="2">
        <f>T1556-W1556</f>
        <v>25</v>
      </c>
      <c r="AL1556" s="5">
        <f>(T1556-W1556)/T1556</f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>(T1557-W1557)/T1557</f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>AJ1557</f>
        <v>0</v>
      </c>
      <c r="AJ1557" s="2">
        <f>AI1557*T1557</f>
        <v>0</v>
      </c>
      <c r="AK1557" s="2">
        <f>T1557-W1557</f>
        <v>132.75</v>
      </c>
      <c r="AL1557" s="5">
        <f>(T1557-W1557)/T1557</f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>(T1558-W1558)/T1558</f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>AJ1558</f>
        <v>0</v>
      </c>
      <c r="AJ1558" s="2">
        <f>AI1558*T1558</f>
        <v>0</v>
      </c>
      <c r="AK1558" s="2">
        <f>T1558-W1558</f>
        <v>135</v>
      </c>
      <c r="AL1558" s="5">
        <f>(T1558-W1558)/T1558</f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>(T1559-W1559)/T1559</f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>AJ1559</f>
        <v>0</v>
      </c>
      <c r="AJ1559" s="2">
        <f>AI1559*T1559</f>
        <v>0</v>
      </c>
      <c r="AK1559" s="2">
        <f>T1559-W1559</f>
        <v>59.4</v>
      </c>
      <c r="AL1559" s="5">
        <f>(T1559-W1559)/T1559</f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>(T1560-W1560)/T1560</f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>AJ1560</f>
        <v>0</v>
      </c>
      <c r="AJ1560" s="2">
        <f>AI1560*T1560</f>
        <v>0</v>
      </c>
      <c r="AK1560" s="2">
        <f>T1560-W1560</f>
        <v>12.5</v>
      </c>
      <c r="AL1560" s="5">
        <f>(T1560-W1560)/T1560</f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>(T1561-W1561)/T1561</f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>AJ1561</f>
        <v>0</v>
      </c>
      <c r="AJ1561" s="2">
        <f>AI1561*T1561</f>
        <v>0</v>
      </c>
      <c r="AK1561" s="2">
        <f>T1561-W1561</f>
        <v>11.060000000000002</v>
      </c>
      <c r="AL1561" s="5">
        <f>(T1561-W1561)/T1561</f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>(T1562-W1562)/T1562</f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>AJ1562</f>
        <v>0</v>
      </c>
      <c r="AJ1562" s="2">
        <f>AI1562*T1562</f>
        <v>0</v>
      </c>
      <c r="AK1562" s="2">
        <f>T1562-W1562</f>
        <v>16.59</v>
      </c>
      <c r="AL1562" s="5">
        <f>(T1562-W1562)/T1562</f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>(T1563-W1563)/T1563</f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>AJ1563</f>
        <v>0</v>
      </c>
      <c r="AG1563" s="2">
        <v>3.3595999999999999</v>
      </c>
      <c r="AJ1563" s="2">
        <f>AI1563*T1563</f>
        <v>0</v>
      </c>
      <c r="AK1563" s="2">
        <f>T1563-W1563</f>
        <v>2.7303999999999999</v>
      </c>
      <c r="AL1563" s="5">
        <f>(T1563-W1563)/T1563</f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>(T1564-W1564)/T1564</f>
        <v>1</v>
      </c>
      <c r="Z1564" s="2" t="s">
        <v>118</v>
      </c>
      <c r="AF1564" s="2">
        <f>AJ1564</f>
        <v>0</v>
      </c>
      <c r="AJ1564" s="2">
        <f>AI1564*T1564</f>
        <v>0</v>
      </c>
      <c r="AK1564" s="2">
        <f>T1564-W1564</f>
        <v>363.6</v>
      </c>
      <c r="AL1564" s="5">
        <f>(T1564-W1564)/T1564</f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>(T1565-W1565)/T1565</f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>AJ1565</f>
        <v>0</v>
      </c>
      <c r="AJ1565" s="2">
        <f>AI1565*T1565</f>
        <v>0</v>
      </c>
      <c r="AK1565" s="2">
        <f>T1565-W1565</f>
        <v>42.599999999999994</v>
      </c>
      <c r="AL1565" s="5">
        <f>(T1565-W1565)/T1565</f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>(T1566-W1566)/T1566</f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>AJ1566</f>
        <v>0</v>
      </c>
      <c r="AJ1566" s="2">
        <f>AI1566*T1566</f>
        <v>0</v>
      </c>
      <c r="AK1566" s="2">
        <f>T1566-W1566</f>
        <v>25</v>
      </c>
      <c r="AL1566" s="5">
        <f>(T1566-W1566)/T1566</f>
        <v>0.5</v>
      </c>
    </row>
    <row r="1567" spans="1:38" x14ac:dyDescent="0.2">
      <c r="A1567" s="2">
        <v>2025</v>
      </c>
      <c r="B1567" s="2">
        <v>6</v>
      </c>
      <c r="C1567" s="2" t="s">
        <v>3395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>AJ1567</f>
        <v>0</v>
      </c>
      <c r="AJ1567" s="2">
        <f>AI1567*T1567</f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3395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>AJ1568</f>
        <v>0</v>
      </c>
      <c r="AJ1568" s="2">
        <f>AI1568*T1568</f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>(T1569-W1569)/T1569</f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>AJ1569</f>
        <v>0</v>
      </c>
      <c r="AJ1569" s="2">
        <f>AI1569*T1569</f>
        <v>0</v>
      </c>
      <c r="AK1569" s="2">
        <f>T1569-W1569</f>
        <v>355.75549999999998</v>
      </c>
      <c r="AL1569" s="5">
        <f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>(T1570-W1570)/T1570</f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>AJ1570</f>
        <v>0</v>
      </c>
      <c r="AJ1570" s="2">
        <f>AI1570*T1570</f>
        <v>0</v>
      </c>
      <c r="AK1570" s="2">
        <f>T1570-W1570</f>
        <v>4330.6000000000004</v>
      </c>
      <c r="AL1570" s="5">
        <f>(T1570-W1570)/T1570</f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>(T1571-W1571)/T1571</f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>AJ1571</f>
        <v>0</v>
      </c>
      <c r="AG1571" s="2">
        <v>6468.73</v>
      </c>
      <c r="AJ1571" s="2">
        <f>AI1571*T1571</f>
        <v>0</v>
      </c>
      <c r="AK1571" s="2">
        <f>T1571-W1571</f>
        <v>3530.2700000000004</v>
      </c>
      <c r="AL1571" s="5">
        <f>(T1571-W1571)/T1571</f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>(T1572-W1572)/T1572</f>
        <v>1</v>
      </c>
      <c r="Z1572" s="2" t="s">
        <v>105</v>
      </c>
      <c r="AF1572" s="2">
        <f>AJ1572</f>
        <v>0</v>
      </c>
      <c r="AJ1572" s="2">
        <f>AI1572*T1572</f>
        <v>0</v>
      </c>
      <c r="AK1572" s="2">
        <f>T1572-W1572</f>
        <v>4600</v>
      </c>
      <c r="AL1572" s="5">
        <f>(T1572-W1572)/T1572</f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>(T1573-W1573)/T1573</f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>AJ1573</f>
        <v>0</v>
      </c>
      <c r="AJ1573" s="2">
        <f>AI1573*T1573</f>
        <v>0</v>
      </c>
      <c r="AK1573" s="2">
        <f>T1573-W1573</f>
        <v>2650</v>
      </c>
      <c r="AL1573" s="5">
        <f>(T1573-W1573)/T1573</f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>(T1574-W1574)/T1574</f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>AJ1574</f>
        <v>0</v>
      </c>
      <c r="AJ1574" s="2">
        <f>AI1574*T1574</f>
        <v>0</v>
      </c>
      <c r="AK1574" s="2">
        <f>T1574-W1574</f>
        <v>1000</v>
      </c>
      <c r="AL1574" s="5">
        <f>(T1574-W1574)/T1574</f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>(T1575-W1575)/T1575</f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>AJ1575</f>
        <v>0</v>
      </c>
      <c r="AJ1575" s="2">
        <f>AI1575*T1575</f>
        <v>0</v>
      </c>
      <c r="AK1575" s="2">
        <f>T1575-W1575</f>
        <v>60</v>
      </c>
      <c r="AL1575" s="5">
        <f>(T1575-W1575)/T1575</f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>(T1576-W1576)/T1576</f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>AJ1576</f>
        <v>0</v>
      </c>
      <c r="AJ1576" s="2">
        <f>AI1576*T1576</f>
        <v>0</v>
      </c>
      <c r="AK1576" s="2">
        <f>T1576-W1576</f>
        <v>100</v>
      </c>
      <c r="AL1576" s="5">
        <f>(T1576-W1576)/T1576</f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>(T1577-W1577)/T1577</f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>AJ1577</f>
        <v>0</v>
      </c>
      <c r="AG1577" s="2">
        <v>10.6</v>
      </c>
      <c r="AH1577" s="2">
        <v>18</v>
      </c>
      <c r="AJ1577" s="2">
        <f>AI1577*T1577</f>
        <v>0</v>
      </c>
      <c r="AK1577" s="2">
        <f>T1577-W1577</f>
        <v>14.8</v>
      </c>
      <c r="AL1577" s="5">
        <f>(T1577-W1577)/T1577</f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>(T1578-W1578)/T1578</f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>AJ1578</f>
        <v>0</v>
      </c>
      <c r="AJ1578" s="2">
        <f>AI1578*T1578</f>
        <v>0</v>
      </c>
      <c r="AK1578" s="2">
        <f>T1578-W1578</f>
        <v>59.4</v>
      </c>
      <c r="AL1578" s="5">
        <f>(T1578-W1578)/T1578</f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>(T1579-W1579)/T1579</f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>AJ1579</f>
        <v>0</v>
      </c>
      <c r="AJ1579" s="2">
        <f>AI1579*T1579</f>
        <v>0</v>
      </c>
      <c r="AK1579" s="2">
        <f>T1579-W1579</f>
        <v>25</v>
      </c>
      <c r="AL1579" s="5">
        <f>(T1579-W1579)/T1579</f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>(T1580-W1580)/T1580</f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>AJ1580</f>
        <v>0</v>
      </c>
      <c r="AJ1580" s="2">
        <f>AI1580*T1580</f>
        <v>0</v>
      </c>
      <c r="AK1580" s="2">
        <f>T1580-W1580</f>
        <v>2.7650000000000006</v>
      </c>
      <c r="AL1580" s="5">
        <f>(T1580-W1580)/T1580</f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>(T1581-W1581)/T1581</f>
        <v>1</v>
      </c>
      <c r="Z1581" s="2" t="s">
        <v>120</v>
      </c>
      <c r="AA1581" s="2" t="s">
        <v>493</v>
      </c>
      <c r="AF1581" s="2">
        <f>AJ1581</f>
        <v>0</v>
      </c>
      <c r="AJ1581" s="2">
        <f>AI1581*T1581</f>
        <v>0</v>
      </c>
      <c r="AK1581" s="2">
        <f>T1581-W1581</f>
        <v>664.04</v>
      </c>
      <c r="AL1581" s="5">
        <f>(T1581-W1581)/T1581</f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>(T1582-W1582)/T1582</f>
        <v>1</v>
      </c>
      <c r="Z1582" s="2" t="s">
        <v>118</v>
      </c>
      <c r="AF1582" s="2">
        <f>AJ1582</f>
        <v>0</v>
      </c>
      <c r="AJ1582" s="2">
        <f>AI1582*T1582</f>
        <v>0</v>
      </c>
      <c r="AK1582" s="2">
        <f>T1582-W1582</f>
        <v>351.26</v>
      </c>
      <c r="AL1582" s="5">
        <f>(T1582-W1582)/T1582</f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>(T1583-W1583)/T1583</f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>AJ1583</f>
        <v>0</v>
      </c>
      <c r="AJ1583" s="2">
        <f>AI1583*T1583</f>
        <v>0</v>
      </c>
      <c r="AK1583" s="2">
        <f>T1583-W1583</f>
        <v>354.09659999999997</v>
      </c>
      <c r="AL1583" s="5">
        <f>(T1583-W1583)/T1583</f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>(T1584-W1584)/T1584</f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>AJ1584</f>
        <v>0</v>
      </c>
      <c r="AJ1584" s="2">
        <f>AI1584*T1584</f>
        <v>0</v>
      </c>
      <c r="AK1584" s="2">
        <f>T1584-W1584</f>
        <v>30</v>
      </c>
      <c r="AL1584" s="5">
        <f>(T1584-W1584)/T1584</f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>(T1585-W1585)/T1585</f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>AJ1585</f>
        <v>0</v>
      </c>
      <c r="AJ1585" s="2">
        <f>AI1585*T1585</f>
        <v>0</v>
      </c>
      <c r="AK1585" s="2">
        <f>T1585-W1585</f>
        <v>25</v>
      </c>
      <c r="AL1585" s="5">
        <f>(T1585-W1585)/T1585</f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>(T1586-W1586)/T1586</f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>AJ1586</f>
        <v>0</v>
      </c>
      <c r="AJ1586" s="2">
        <f>AI1586*T1586</f>
        <v>0</v>
      </c>
      <c r="AK1586" s="2">
        <f>T1586-W1586</f>
        <v>22.027999999999999</v>
      </c>
      <c r="AL1586" s="5">
        <f>(T1586-W1586)/T1586</f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>(T1587-W1587)/T1587</f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>AJ1587</f>
        <v>0</v>
      </c>
      <c r="AG1587" s="2">
        <v>6.6266999999999996</v>
      </c>
      <c r="AH1587" s="2">
        <v>12</v>
      </c>
      <c r="AJ1587" s="2">
        <f>AI1587*T1587</f>
        <v>0</v>
      </c>
      <c r="AK1587" s="2">
        <f>T1587-W1587</f>
        <v>10.746600000000001</v>
      </c>
      <c r="AL1587" s="5">
        <f>(T1587-W1587)/T1587</f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>(T1588-W1588)/T1588</f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>AJ1588</f>
        <v>0</v>
      </c>
      <c r="AG1588" s="2">
        <v>10.6</v>
      </c>
      <c r="AH1588" s="2">
        <v>18</v>
      </c>
      <c r="AJ1588" s="2">
        <f>AI1588*T1588</f>
        <v>0</v>
      </c>
      <c r="AK1588" s="2">
        <f>T1588-W1588</f>
        <v>14.8</v>
      </c>
      <c r="AL1588" s="5">
        <f>(T1588-W1588)/T1588</f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>(T1589-W1589)/T1589</f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>AJ1589</f>
        <v>0</v>
      </c>
      <c r="AG1589" s="2">
        <v>10.6</v>
      </c>
      <c r="AH1589" s="2">
        <v>18</v>
      </c>
      <c r="AJ1589" s="2">
        <f>AI1589*T1589</f>
        <v>0</v>
      </c>
      <c r="AK1589" s="2">
        <f>T1589-W1589</f>
        <v>34</v>
      </c>
      <c r="AL1589" s="5">
        <f>(T1589-W1589)/T1589</f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>AJ1590</f>
        <v>0</v>
      </c>
      <c r="AJ1590" s="2">
        <f>AI1590*T1590</f>
        <v>0</v>
      </c>
      <c r="AK1590" s="2">
        <f>T1590-W1590</f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>(T1591-W1591)/T1591</f>
        <v>1</v>
      </c>
      <c r="Z1591" s="2" t="s">
        <v>105</v>
      </c>
      <c r="AF1591" s="2">
        <f>AJ1591</f>
        <v>0</v>
      </c>
      <c r="AJ1591" s="2">
        <f>AI1591*T1591</f>
        <v>0</v>
      </c>
      <c r="AK1591" s="2">
        <f>T1591-W1591</f>
        <v>5500</v>
      </c>
      <c r="AL1591" s="5">
        <f>(T1591-W1591)/T1591</f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>(T1592-W1592)/T1592</f>
        <v>1</v>
      </c>
      <c r="Z1592" s="2" t="s">
        <v>118</v>
      </c>
      <c r="AF1592" s="2">
        <f>AJ1592</f>
        <v>0</v>
      </c>
      <c r="AJ1592" s="2">
        <f>AI1592*T1592</f>
        <v>0</v>
      </c>
      <c r="AK1592" s="2">
        <f>T1592-W1592</f>
        <v>57.86</v>
      </c>
      <c r="AL1592" s="5">
        <f>(T1592-W1592)/T1592</f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>(T1593-W1593)/T1593</f>
        <v>1</v>
      </c>
      <c r="Z1593" s="2" t="s">
        <v>118</v>
      </c>
      <c r="AF1593" s="2">
        <f>AJ1593</f>
        <v>0</v>
      </c>
      <c r="AJ1593" s="2">
        <f>AI1593*T1593</f>
        <v>0</v>
      </c>
      <c r="AK1593" s="2">
        <f>T1593-W1593</f>
        <v>65.239999999999995</v>
      </c>
      <c r="AL1593" s="5">
        <f>(T1593-W1593)/T1593</f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>(T1594-W1594)/T1594</f>
        <v>1</v>
      </c>
      <c r="Z1594" s="2" t="s">
        <v>170</v>
      </c>
      <c r="AA1594" s="2" t="s">
        <v>170</v>
      </c>
      <c r="AF1594" s="2">
        <f>AJ1594</f>
        <v>0</v>
      </c>
      <c r="AJ1594" s="2">
        <f>AI1594*T1594</f>
        <v>0</v>
      </c>
      <c r="AK1594" s="2">
        <f>T1594-W1594</f>
        <v>8</v>
      </c>
      <c r="AL1594" s="5">
        <f>(T1594-W1594)/T1594</f>
        <v>1</v>
      </c>
    </row>
    <row r="1595" spans="1:38" x14ac:dyDescent="0.2">
      <c r="A1595" s="2">
        <v>2025</v>
      </c>
      <c r="B1595" s="2">
        <v>6</v>
      </c>
      <c r="C1595" s="2" t="s">
        <v>3395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>(T1595-W1595)/T1595</f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>AJ1595</f>
        <v>0</v>
      </c>
      <c r="AJ1595" s="2">
        <f>AI1595*T1595</f>
        <v>0</v>
      </c>
      <c r="AK1595" s="2">
        <f>T1595-W1595</f>
        <v>27.650000000000006</v>
      </c>
      <c r="AL1595" s="5">
        <f>(T1595-W1595)/T1595</f>
        <v>0.35000000000000009</v>
      </c>
    </row>
    <row r="1596" spans="1:38" x14ac:dyDescent="0.2">
      <c r="A1596" s="2">
        <v>2025</v>
      </c>
      <c r="B1596" s="2">
        <v>6</v>
      </c>
      <c r="C1596" s="2" t="s">
        <v>3397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>(T1596-W1596)/T1596</f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>AJ1596</f>
        <v>0</v>
      </c>
      <c r="AJ1596" s="2">
        <f>AI1596*T1596</f>
        <v>0</v>
      </c>
      <c r="AK1596" s="2">
        <f>T1596-W1596</f>
        <v>119.9</v>
      </c>
      <c r="AL1596" s="5">
        <f>(T1596-W1596)/T1596</f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>(T1597-W1597)/T1597</f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>AJ1597</f>
        <v>0</v>
      </c>
      <c r="AG1597" s="2">
        <v>117.453</v>
      </c>
      <c r="AH1597" s="2">
        <v>220</v>
      </c>
      <c r="AJ1597" s="2">
        <f>AI1597*T1597</f>
        <v>0</v>
      </c>
      <c r="AK1597" s="2">
        <f>T1597-W1597</f>
        <v>102.547</v>
      </c>
      <c r="AL1597" s="5">
        <f>(T1597-W1597)/T1597</f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>(T1598-W1598)/T1598</f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>AJ1598</f>
        <v>0</v>
      </c>
      <c r="AG1598" s="2">
        <v>1.1399999999999999</v>
      </c>
      <c r="AH1598" s="2">
        <v>1.1399999999999999</v>
      </c>
      <c r="AJ1598" s="2">
        <f>AI1598*T1598</f>
        <v>0</v>
      </c>
      <c r="AK1598" s="2">
        <f>T1598-W1598</f>
        <v>0</v>
      </c>
      <c r="AL1598" s="5">
        <f>(T1598-W1598)/T1598</f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>(T1599-W1599)/T1599</f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>AJ1599</f>
        <v>0</v>
      </c>
      <c r="AJ1599" s="2">
        <f>AI1599*T1599</f>
        <v>0</v>
      </c>
      <c r="AK1599" s="2">
        <f>T1599-W1599</f>
        <v>44.91</v>
      </c>
      <c r="AL1599" s="5">
        <f>(T1599-W1599)/T1599</f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>(T1600-W1600)/T1600</f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>AJ1600</f>
        <v>0</v>
      </c>
      <c r="AJ1600" s="2">
        <f>AI1600*T1600</f>
        <v>0</v>
      </c>
      <c r="AK1600" s="2">
        <f>T1600-W1600</f>
        <v>59.808399999999999</v>
      </c>
      <c r="AL1600" s="5">
        <f>(T1600-W1600)/T1600</f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>(T1601-W1601)/T1601</f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>AJ1601</f>
        <v>0</v>
      </c>
      <c r="AG1601" s="2">
        <v>117.453</v>
      </c>
      <c r="AH1601" s="2">
        <v>220</v>
      </c>
      <c r="AJ1601" s="2">
        <f>AI1601*T1601</f>
        <v>0</v>
      </c>
      <c r="AK1601" s="2">
        <f>T1601-W1601</f>
        <v>92.546999999999997</v>
      </c>
      <c r="AL1601" s="5">
        <f>(T1601-W1601)/T1601</f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>(T1602-W1602)/T1602</f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>AJ1602</f>
        <v>0</v>
      </c>
      <c r="AG1602" s="2">
        <v>113.33</v>
      </c>
      <c r="AH1602" s="2">
        <v>220</v>
      </c>
      <c r="AJ1602" s="2">
        <f>AI1602*T1602</f>
        <v>0</v>
      </c>
      <c r="AK1602" s="2">
        <f>T1602-W1602</f>
        <v>96.67</v>
      </c>
      <c r="AL1602" s="5">
        <f>(T1602-W1602)/T1602</f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>AJ1603</f>
        <v>0</v>
      </c>
      <c r="AJ1603" s="2">
        <f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>(T1604-W1604)/T1604</f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>AJ1604</f>
        <v>0</v>
      </c>
      <c r="AJ1604" s="2">
        <f>AI1604*T1604</f>
        <v>0</v>
      </c>
      <c r="AK1604" s="2">
        <f>T1604-W1604</f>
        <v>0</v>
      </c>
      <c r="AL1604" s="5">
        <f>(T1604-W1604)/T1604</f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>(T1605-W1605)/T1605</f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>AJ1605</f>
        <v>0</v>
      </c>
      <c r="AJ1605" s="2">
        <f>AI1605*T1605</f>
        <v>0</v>
      </c>
      <c r="AK1605" s="2">
        <f>T1605-W1605</f>
        <v>302.68</v>
      </c>
      <c r="AL1605" s="5">
        <f>(T1605-W1605)/T1605</f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>(T1606-W1606)/T1606</f>
        <v>1</v>
      </c>
      <c r="Z1606" s="2" t="s">
        <v>120</v>
      </c>
      <c r="AA1606" s="2" t="s">
        <v>3384</v>
      </c>
      <c r="AF1606" s="2">
        <f>AJ1606</f>
        <v>0</v>
      </c>
      <c r="AJ1606" s="2">
        <f>AI1606*T1606</f>
        <v>0</v>
      </c>
      <c r="AK1606" s="2">
        <f>T1606-W1606</f>
        <v>344.58</v>
      </c>
      <c r="AL1606" s="5">
        <f>(T1606-W1606)/T1606</f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>(T1607-W1607)/T1607</f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>AJ1607</f>
        <v>0</v>
      </c>
      <c r="AJ1607" s="2">
        <f>AI1607*T1607</f>
        <v>0</v>
      </c>
      <c r="AK1607" s="2">
        <f>T1607-W1607</f>
        <v>90.94</v>
      </c>
      <c r="AL1607" s="5">
        <f>(T1607-W1607)/T1607</f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>(T1608-W1608)/T1608</f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>AJ1608</f>
        <v>0</v>
      </c>
      <c r="AJ1608" s="2">
        <f>AI1608*T1608</f>
        <v>0</v>
      </c>
      <c r="AK1608" s="2">
        <f>T1608-W1608</f>
        <v>0</v>
      </c>
      <c r="AL1608" s="5">
        <f>(T1608-W1608)/T1608</f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>(T1609-W1609)/T1609</f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>AJ1609</f>
        <v>0</v>
      </c>
      <c r="AG1609" s="2">
        <v>119.33</v>
      </c>
      <c r="AH1609" s="2">
        <v>220</v>
      </c>
      <c r="AJ1609" s="2">
        <f>AI1609*T1609</f>
        <v>0</v>
      </c>
      <c r="AK1609" s="2">
        <f>T1609-W1609</f>
        <v>100.67</v>
      </c>
      <c r="AL1609" s="5">
        <f>(T1609-W1609)/T1609</f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>(T1610-W1610)/T1610</f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>AJ1610</f>
        <v>0</v>
      </c>
      <c r="AG1610" s="2">
        <v>111.98</v>
      </c>
      <c r="AH1610" s="2">
        <v>210</v>
      </c>
      <c r="AJ1610" s="2">
        <f>AI1610*T1610</f>
        <v>0</v>
      </c>
      <c r="AK1610" s="2">
        <f>T1610-W1610</f>
        <v>98.02</v>
      </c>
      <c r="AL1610" s="5">
        <f>(T1610-W1610)/T1610</f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>(T1611-W1611)/T1611</f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>AJ1611</f>
        <v>0</v>
      </c>
      <c r="AG1611" s="2">
        <v>141.16</v>
      </c>
      <c r="AH1611" s="2">
        <v>220</v>
      </c>
      <c r="AJ1611" s="2">
        <f>AI1611*T1611</f>
        <v>0</v>
      </c>
      <c r="AK1611" s="2">
        <f>T1611-W1611</f>
        <v>38.840000000000003</v>
      </c>
      <c r="AL1611" s="5">
        <f>(T1611-W1611)/T1611</f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>(T1612-W1612)/T1612</f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>AJ1612</f>
        <v>0</v>
      </c>
      <c r="AG1612" s="2">
        <v>1.1399999999999999</v>
      </c>
      <c r="AH1612" s="2">
        <v>1.1399999999999999</v>
      </c>
      <c r="AJ1612" s="2">
        <f>AI1612*T1612</f>
        <v>0</v>
      </c>
      <c r="AK1612" s="2">
        <f>T1612-W1612</f>
        <v>0</v>
      </c>
      <c r="AL1612" s="5">
        <f>(T1612-W1612)/T1612</f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E1613" s="2" t="s">
        <v>109</v>
      </c>
      <c r="F1613" s="2" t="s">
        <v>39</v>
      </c>
      <c r="L1613" s="2" t="s">
        <v>113</v>
      </c>
      <c r="M1613" s="2" t="s">
        <v>110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>(T1613-W1613)/T1613</f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>AJ1613</f>
        <v>0</v>
      </c>
      <c r="AG1613" s="2">
        <v>5.9066999999999998</v>
      </c>
      <c r="AH1613" s="2">
        <v>12.6</v>
      </c>
      <c r="AJ1613" s="2">
        <f>AI1613*T1613</f>
        <v>0</v>
      </c>
      <c r="AK1613" s="2">
        <f>T1613-W1613</f>
        <v>6.0933000000000002</v>
      </c>
      <c r="AL1613" s="5">
        <f>(T1613-W1613)/T1613</f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E1614" s="2" t="s">
        <v>109</v>
      </c>
      <c r="F1614" s="2" t="s">
        <v>39</v>
      </c>
      <c r="L1614" s="2" t="s">
        <v>113</v>
      </c>
      <c r="M1614" s="2" t="s">
        <v>110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>(T1614-W1614)/T1614</f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>AJ1614</f>
        <v>0</v>
      </c>
      <c r="AG1614" s="2">
        <v>10.6</v>
      </c>
      <c r="AH1614" s="2">
        <v>18</v>
      </c>
      <c r="AJ1614" s="2">
        <f>AI1614*T1614</f>
        <v>0</v>
      </c>
      <c r="AK1614" s="2">
        <f>T1614-W1614</f>
        <v>40.800000000000011</v>
      </c>
      <c r="AL1614" s="5">
        <f>(T1614-W1614)/T1614</f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E1615" s="2" t="s">
        <v>109</v>
      </c>
      <c r="F1615" s="2" t="s">
        <v>39</v>
      </c>
      <c r="L1615" s="2" t="s">
        <v>113</v>
      </c>
      <c r="M1615" s="2" t="s">
        <v>110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>(T1615-W1615)/T1615</f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>AJ1615</f>
        <v>0</v>
      </c>
      <c r="AJ1615" s="2">
        <f>AI1615*T1615</f>
        <v>0</v>
      </c>
      <c r="AK1615" s="2">
        <f>T1615-W1615</f>
        <v>8.4</v>
      </c>
      <c r="AL1615" s="5">
        <f>(T1615-W1615)/T1615</f>
        <v>1</v>
      </c>
    </row>
    <row r="1616" spans="1:38" x14ac:dyDescent="0.2">
      <c r="A1616" s="2">
        <v>2025</v>
      </c>
      <c r="B1616" s="2">
        <v>6</v>
      </c>
      <c r="D1616" s="2" t="s">
        <v>1625</v>
      </c>
      <c r="E1616" s="2" t="s">
        <v>109</v>
      </c>
      <c r="F1616" s="2" t="s">
        <v>39</v>
      </c>
      <c r="L1616" s="2" t="s">
        <v>113</v>
      </c>
      <c r="M1616" s="2" t="s">
        <v>110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>(T1616-W1616)/T1616</f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>AJ1616</f>
        <v>0</v>
      </c>
      <c r="AJ1616" s="2">
        <f>AI1616*T1616</f>
        <v>0</v>
      </c>
      <c r="AK1616" s="2">
        <f>T1616-W1616</f>
        <v>9.6</v>
      </c>
      <c r="AL1616" s="5">
        <f>(T1616-W1616)/T1616</f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>(T1617-W1617)/T1617</f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>AJ1617</f>
        <v>0</v>
      </c>
      <c r="AJ1617" s="2">
        <f>AI1617*T1617</f>
        <v>0</v>
      </c>
      <c r="AK1617" s="2">
        <f>T1617-W1617</f>
        <v>101.32</v>
      </c>
      <c r="AL1617" s="5">
        <f>(T1617-W1617)/T1617</f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>(T1618-W1618)/T1618</f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>AJ1618</f>
        <v>0</v>
      </c>
      <c r="AJ1618" s="2">
        <f>AI1618*T1618</f>
        <v>0</v>
      </c>
      <c r="AK1618" s="2">
        <f>T1618-W1618</f>
        <v>50</v>
      </c>
      <c r="AL1618" s="5">
        <f>(T1618-W1618)/T1618</f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>(T1619-W1619)/T1619</f>
        <v>1</v>
      </c>
      <c r="Z1619" s="2" t="s">
        <v>118</v>
      </c>
      <c r="AF1619" s="2">
        <f>AJ1619</f>
        <v>0</v>
      </c>
      <c r="AJ1619" s="2">
        <f>AI1619*T1619</f>
        <v>0</v>
      </c>
      <c r="AK1619" s="2">
        <f>T1619-W1619</f>
        <v>700</v>
      </c>
      <c r="AL1619" s="5">
        <f>(T1619-W1619)/T1619</f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>(T1620-W1620)/T1620</f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>AJ1620</f>
        <v>0</v>
      </c>
      <c r="AG1620" s="2">
        <v>3.7357999999999998</v>
      </c>
      <c r="AH1620" s="2">
        <v>9</v>
      </c>
      <c r="AJ1620" s="2">
        <f>AI1620*T1620</f>
        <v>0</v>
      </c>
      <c r="AK1620" s="2">
        <f>T1620-W1620</f>
        <v>4.0641999999999996</v>
      </c>
      <c r="AL1620" s="5">
        <f>(T1620-W1620)/T1620</f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>(T1621-W1621)/T1621</f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>AJ1621</f>
        <v>0</v>
      </c>
      <c r="AG1621" s="2">
        <v>10.6</v>
      </c>
      <c r="AH1621" s="2">
        <v>18</v>
      </c>
      <c r="AJ1621" s="2">
        <f>AI1621*T1621</f>
        <v>0</v>
      </c>
      <c r="AK1621" s="2">
        <f>T1621-W1621</f>
        <v>34</v>
      </c>
      <c r="AL1621" s="5">
        <f>(T1621-W1621)/T1621</f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>(T1622-W1622)/T1622</f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>AJ1622</f>
        <v>0</v>
      </c>
      <c r="AJ1622" s="2">
        <f>AI1622*T1622</f>
        <v>0</v>
      </c>
      <c r="AK1622" s="2">
        <f>T1622-W1622</f>
        <v>36.599999999999994</v>
      </c>
      <c r="AL1622" s="5">
        <f>(T1622-W1622)/T1622</f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>AJ1623</f>
        <v>0</v>
      </c>
      <c r="AJ1623" s="2">
        <f>AI1623*T1623</f>
        <v>0</v>
      </c>
      <c r="AK1623" s="2">
        <f>T1623-W1623</f>
        <v>37.5</v>
      </c>
      <c r="AL1623" s="5">
        <f>(T1623-W1623)/T1623</f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>(T1624-W1624)/T1624</f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>AJ1624</f>
        <v>0</v>
      </c>
      <c r="AJ1624" s="2">
        <f>AI1624*T1624</f>
        <v>0</v>
      </c>
      <c r="AK1624" s="2">
        <f>T1624-W1624</f>
        <v>104.39999999999999</v>
      </c>
      <c r="AL1624" s="5">
        <f>(T1624-W1624)/T1624</f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>(T1625-W1625)/T1625</f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>AJ1625</f>
        <v>0</v>
      </c>
      <c r="AJ1625" s="2">
        <f>AI1625*T1625</f>
        <v>0</v>
      </c>
      <c r="AK1625" s="2">
        <f>T1625-W1625</f>
        <v>37.5</v>
      </c>
      <c r="AL1625" s="5">
        <f>(T1625-W1625)/T1625</f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>(T1626-W1626)/T1626</f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>AJ1626</f>
        <v>0</v>
      </c>
      <c r="AJ1626" s="2">
        <f>AI1626*T1626</f>
        <v>0</v>
      </c>
      <c r="AK1626" s="2">
        <f>T1626-W1626</f>
        <v>354.09659999999997</v>
      </c>
      <c r="AL1626" s="5">
        <f>(T1626-W1626)/T1626</f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>(T1627-W1627)/T1627</f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>AJ1627</f>
        <v>0</v>
      </c>
      <c r="AJ1627" s="2">
        <f>AI1627*T1627</f>
        <v>0</v>
      </c>
      <c r="AK1627" s="2">
        <f>T1627-W1627</f>
        <v>61.199999999999996</v>
      </c>
      <c r="AL1627" s="5">
        <f>(T1627-W1627)/T1627</f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>AJ1628</f>
        <v>0</v>
      </c>
      <c r="AJ1628" s="2">
        <f>AI1628*T1628</f>
        <v>0</v>
      </c>
      <c r="AK1628" s="2">
        <f>T1628-W1628</f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>(T1629-W1629)/T1629</f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>AJ1629</f>
        <v>0</v>
      </c>
      <c r="AJ1629" s="2">
        <f>AI1629*T1629</f>
        <v>0</v>
      </c>
      <c r="AK1629" s="2">
        <f>T1629-W1629</f>
        <v>89.953999999999979</v>
      </c>
      <c r="AL1629" s="5">
        <f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>(T1630-W1630)/T1630</f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>AJ1630</f>
        <v>0</v>
      </c>
      <c r="AJ1630" s="2">
        <f>AI1630*T1630</f>
        <v>0</v>
      </c>
      <c r="AK1630" s="2">
        <f>T1630-W1630</f>
        <v>22.454999999999998</v>
      </c>
      <c r="AL1630" s="5">
        <f>(T1630-W1630)/T1630</f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>(T1631-W1631)/T1631</f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>AJ1631</f>
        <v>0</v>
      </c>
      <c r="AJ1631" s="2">
        <f>AI1631*T1631</f>
        <v>0</v>
      </c>
      <c r="AK1631" s="2">
        <f>T1631-W1631</f>
        <v>17.650000000000006</v>
      </c>
      <c r="AL1631" s="5">
        <f>(T1631-W1631)/T1631</f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>(T1632-W1632)/T1632</f>
        <v>1</v>
      </c>
      <c r="Z1632" s="2" t="s">
        <v>118</v>
      </c>
      <c r="AF1632" s="2">
        <f>AJ1632</f>
        <v>0</v>
      </c>
      <c r="AJ1632" s="2">
        <f>AI1632*T1632</f>
        <v>0</v>
      </c>
      <c r="AK1632" s="2">
        <f>T1632-W1632</f>
        <v>62.6</v>
      </c>
      <c r="AL1632" s="5">
        <f>(T1632-W1632)/T1632</f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>(T1633-W1633)/T1633</f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>AJ1633</f>
        <v>0</v>
      </c>
      <c r="AJ1633" s="2">
        <f>AI1633*T1633</f>
        <v>0</v>
      </c>
      <c r="AK1633" s="2">
        <f>T1633-W1633</f>
        <v>39.599999999999994</v>
      </c>
      <c r="AL1633" s="5">
        <f>(T1633-W1633)/T1633</f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>(T1634-W1634)/T1634</f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>AJ1634</f>
        <v>0</v>
      </c>
      <c r="AJ1634" s="2">
        <f>AI1634*T1634</f>
        <v>0</v>
      </c>
      <c r="AK1634" s="2">
        <f>T1634-W1634</f>
        <v>25</v>
      </c>
      <c r="AL1634" s="5">
        <f>(T1634-W1634)/T1634</f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>(T1635-W1635)/T1635</f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>AJ1635</f>
        <v>0</v>
      </c>
      <c r="AJ1635" s="2">
        <f>AI1635*T1635</f>
        <v>0</v>
      </c>
      <c r="AK1635" s="2">
        <f>T1635-W1635</f>
        <v>150</v>
      </c>
      <c r="AL1635" s="5">
        <f>(T1635-W1635)/T1635</f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>(T1636-W1636)/T1636</f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>AJ1636</f>
        <v>0</v>
      </c>
      <c r="AJ1636" s="2">
        <f>AI1636*T1636</f>
        <v>0</v>
      </c>
      <c r="AK1636" s="2">
        <f>T1636-W1636</f>
        <v>4.6999999999999993</v>
      </c>
      <c r="AL1636" s="5">
        <f>(T1636-W1636)/T1636</f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>(T1637-W1637)/T1637</f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>AJ1637</f>
        <v>0</v>
      </c>
      <c r="AG1637" s="2">
        <v>10.6</v>
      </c>
      <c r="AH1637" s="2">
        <v>18</v>
      </c>
      <c r="AJ1637" s="2">
        <f>AI1637*T1637</f>
        <v>0</v>
      </c>
      <c r="AK1637" s="2">
        <f>T1637-W1637</f>
        <v>21</v>
      </c>
      <c r="AL1637" s="5">
        <f>(T1637-W1637)/T1637</f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>(T1638-W1638)/T1638</f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>AJ1638</f>
        <v>0</v>
      </c>
      <c r="AG1638" s="2">
        <v>8.1999999999999993</v>
      </c>
      <c r="AH1638" s="2">
        <v>13</v>
      </c>
      <c r="AJ1638" s="2">
        <f>AI1638*T1638</f>
        <v>0</v>
      </c>
      <c r="AK1638" s="2">
        <f>T1638-W1638</f>
        <v>20.200000000000003</v>
      </c>
      <c r="AL1638" s="5">
        <f>(T1638-W1638)/T1638</f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>(T1639-W1639)/T1639</f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>AJ1639</f>
        <v>0</v>
      </c>
      <c r="AJ1639" s="2">
        <f>AI1639*T1639</f>
        <v>0</v>
      </c>
      <c r="AK1639" s="2">
        <f>T1639-W1639</f>
        <v>29</v>
      </c>
      <c r="AL1639" s="5">
        <f>(T1639-W1639)/T1639</f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>(T1640-W1640)/T1640</f>
        <v>1</v>
      </c>
      <c r="Z1640" s="2" t="s">
        <v>118</v>
      </c>
      <c r="AF1640" s="2">
        <f>AJ1640</f>
        <v>0</v>
      </c>
      <c r="AJ1640" s="2">
        <f>AI1640*T1640</f>
        <v>0</v>
      </c>
      <c r="AK1640" s="2">
        <f>T1640-W1640</f>
        <v>28.25</v>
      </c>
      <c r="AL1640" s="5">
        <f>(T1640-W1640)/T1640</f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>(T1641-W1641)/T1641</f>
        <v>1</v>
      </c>
      <c r="AF1641" s="2">
        <f>AJ1641</f>
        <v>0</v>
      </c>
      <c r="AJ1641" s="2">
        <f>AI1641*T1641</f>
        <v>0</v>
      </c>
      <c r="AK1641" s="2">
        <f>T1641-W1641</f>
        <v>42.99</v>
      </c>
      <c r="AL1641" s="5">
        <f>(T1641-W1641)/T1641</f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>(T1642-W1642)/T1642</f>
        <v>1</v>
      </c>
      <c r="Z1642" s="2" t="s">
        <v>170</v>
      </c>
      <c r="AA1642" s="2" t="s">
        <v>170</v>
      </c>
      <c r="AF1642" s="2">
        <f>AJ1642</f>
        <v>0</v>
      </c>
      <c r="AJ1642" s="2">
        <f>AI1642*T1642</f>
        <v>0</v>
      </c>
      <c r="AK1642" s="2">
        <f>T1642-W1642</f>
        <v>8.5</v>
      </c>
      <c r="AL1642" s="5">
        <f>(T1642-W1642)/T1642</f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>(T1643-W1643)/T1643</f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>AJ1643</f>
        <v>0</v>
      </c>
      <c r="AG1643" s="2">
        <v>113.33</v>
      </c>
      <c r="AH1643" s="2">
        <v>220</v>
      </c>
      <c r="AJ1643" s="2">
        <f>AI1643*T1643</f>
        <v>0</v>
      </c>
      <c r="AK1643" s="2">
        <f>T1643-W1643</f>
        <v>106.67</v>
      </c>
      <c r="AL1643" s="5">
        <f>(T1643-W1643)/T1643</f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>(T1644-W1644)/T1644</f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>AJ1644</f>
        <v>0</v>
      </c>
      <c r="AJ1644" s="2">
        <f>AI1644*T1644</f>
        <v>0</v>
      </c>
      <c r="AK1644" s="2">
        <f>T1644-W1644</f>
        <v>0</v>
      </c>
      <c r="AL1644" s="5">
        <f>(T1644-W1644)/T1644</f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3392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>(T1645-W1645)/T1645</f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>AJ1645</f>
        <v>0</v>
      </c>
      <c r="AJ1645" s="2">
        <f>AI1645*T1645</f>
        <v>0</v>
      </c>
      <c r="AK1645" s="2">
        <f>T1645-W1645</f>
        <v>81.699999999999989</v>
      </c>
      <c r="AL1645" s="5">
        <f>(T1645-W1645)/T1645</f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>(T1646-W1646)/T1646</f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>AJ1646</f>
        <v>0</v>
      </c>
      <c r="AJ1646" s="2">
        <f>AI1646*T1646</f>
        <v>0</v>
      </c>
      <c r="AK1646" s="2">
        <f>T1646-W1646</f>
        <v>0</v>
      </c>
      <c r="AL1646" s="5">
        <f>(T1646-W1646)/T1646</f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>(T1647-W1647)/T1647</f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>AJ1647</f>
        <v>0</v>
      </c>
      <c r="AJ1647" s="2">
        <f>AI1647*T1647</f>
        <v>0</v>
      </c>
      <c r="AK1647" s="2">
        <f>T1647-W1647</f>
        <v>30</v>
      </c>
      <c r="AL1647" s="5">
        <f>(T1647-W1647)/T1647</f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>(T1648-W1648)/T1648</f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>AJ1648</f>
        <v>0</v>
      </c>
      <c r="AJ1648" s="2">
        <f>AI1648*T1648</f>
        <v>0</v>
      </c>
      <c r="AK1648" s="2">
        <f>T1648-W1648</f>
        <v>12.5</v>
      </c>
      <c r="AL1648" s="5">
        <f>(T1648-W1648)/T1648</f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>(T1649-W1649)/T1649</f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>AJ1649</f>
        <v>0</v>
      </c>
      <c r="AJ1649" s="2">
        <f>AI1649*T1649</f>
        <v>0</v>
      </c>
      <c r="AK1649" s="2">
        <f>T1649-W1649</f>
        <v>100.7133</v>
      </c>
      <c r="AL1649" s="5">
        <f>(T1649-W1649)/T1649</f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>(T1650-W1650)/T1650</f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>AJ1650</f>
        <v>0</v>
      </c>
      <c r="AJ1650" s="2">
        <f>AI1650*T1650</f>
        <v>0</v>
      </c>
      <c r="AK1650" s="2">
        <f>T1650-W1650</f>
        <v>0</v>
      </c>
      <c r="AL1650" s="5">
        <f>(T1650-W1650)/T1650</f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>(T1651-W1651)/T1651</f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>AJ1651</f>
        <v>0</v>
      </c>
      <c r="AG1651" s="2">
        <v>10.6</v>
      </c>
      <c r="AH1651" s="2">
        <v>18</v>
      </c>
      <c r="AJ1651" s="2">
        <f>AI1651*T1651</f>
        <v>0</v>
      </c>
      <c r="AK1651" s="2">
        <f>T1651-W1651</f>
        <v>34</v>
      </c>
      <c r="AL1651" s="5">
        <f>(T1651-W1651)/T1651</f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>(T1652-W1652)/T1652</f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>AJ1652</f>
        <v>0</v>
      </c>
      <c r="AG1652" s="2">
        <v>0.85609999999999997</v>
      </c>
      <c r="AH1652" s="2">
        <v>1.8</v>
      </c>
      <c r="AJ1652" s="2">
        <f>AI1652*T1652</f>
        <v>0</v>
      </c>
      <c r="AK1652" s="2">
        <f>T1652-W1652</f>
        <v>18.878</v>
      </c>
      <c r="AL1652" s="5">
        <f>(T1652-W1652)/T1652</f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>(T1653-W1653)/T1653</f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>AJ1653</f>
        <v>0</v>
      </c>
      <c r="AG1653" s="2">
        <v>40.357500000000002</v>
      </c>
      <c r="AJ1653" s="2">
        <f>AI1653*T1653</f>
        <v>0</v>
      </c>
      <c r="AK1653" s="2">
        <f>T1653-W1653</f>
        <v>43.432500000000005</v>
      </c>
      <c r="AL1653" s="5">
        <f>(T1653-W1653)/T1653</f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>AJ1654</f>
        <v>0</v>
      </c>
      <c r="AJ1654" s="2">
        <f>AI1654*T1654</f>
        <v>0</v>
      </c>
      <c r="AK1654" s="2">
        <f>T1654-W1654</f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>AJ1655</f>
        <v>0</v>
      </c>
      <c r="AJ1655" s="2">
        <f>AI1655*T1655</f>
        <v>0</v>
      </c>
      <c r="AK1655" s="2">
        <f>T1655-W1655</f>
        <v>18.75</v>
      </c>
      <c r="AL1655" s="5">
        <f>(T1655-W1655)/T1655</f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>(T1656-W1656)/T1656</f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>AJ1656</f>
        <v>0</v>
      </c>
      <c r="AG1656" s="2">
        <f>3130.82+148.37</f>
        <v>3279.19</v>
      </c>
      <c r="AJ1656" s="2">
        <f>AI1656*T1656</f>
        <v>0</v>
      </c>
      <c r="AK1656" s="2">
        <f>T1656-W1656</f>
        <v>1220.81</v>
      </c>
      <c r="AL1656" s="5">
        <f>(T1656-W1656)/T1656</f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>(T1657-W1657)/T1657</f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>AJ1657</f>
        <v>0</v>
      </c>
      <c r="AG1657" s="2">
        <v>10.6</v>
      </c>
      <c r="AH1657" s="2">
        <v>18</v>
      </c>
      <c r="AJ1657" s="2">
        <f>AI1657*T1657</f>
        <v>0</v>
      </c>
      <c r="AK1657" s="2">
        <f>T1657-W1657</f>
        <v>36.600000000000009</v>
      </c>
      <c r="AL1657" s="5">
        <f>(T1657-W1657)/T1657</f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>(T1658-W1658)/T1658</f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>AJ1658</f>
        <v>0</v>
      </c>
      <c r="AG1658" s="2">
        <v>8.1999999999999993</v>
      </c>
      <c r="AH1658" s="2">
        <v>13</v>
      </c>
      <c r="AJ1658" s="2">
        <f>AI1658*T1658</f>
        <v>0</v>
      </c>
      <c r="AK1658" s="2">
        <f>T1658-W1658</f>
        <v>4.7999999999999989</v>
      </c>
      <c r="AL1658" s="5">
        <f>(T1658-W1658)/T1658</f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>(T1659-W1659)/T1659</f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>AJ1659</f>
        <v>0</v>
      </c>
      <c r="AJ1659" s="2">
        <f>AI1659*T1659</f>
        <v>0</v>
      </c>
      <c r="AK1659" s="2">
        <f>T1659-W1659</f>
        <v>4.8600000000000012</v>
      </c>
      <c r="AL1659" s="5">
        <f>(T1659-W1659)/T1659</f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>(T1660-W1660)/T1660</f>
        <v>1</v>
      </c>
      <c r="Z1660" s="2" t="s">
        <v>170</v>
      </c>
      <c r="AA1660" s="2" t="s">
        <v>170</v>
      </c>
      <c r="AF1660" s="2">
        <f>AJ1660</f>
        <v>0</v>
      </c>
      <c r="AJ1660" s="2">
        <f>AI1660*T1660</f>
        <v>0</v>
      </c>
      <c r="AK1660" s="2">
        <f>T1660-W1660</f>
        <v>8</v>
      </c>
      <c r="AL1660" s="5">
        <f>(T1660-W1660)/T1660</f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>(T1661-W1661)/T1661</f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>AJ1661</f>
        <v>0</v>
      </c>
      <c r="AJ1661" s="2">
        <f>AI1661*T1661</f>
        <v>0</v>
      </c>
      <c r="AK1661" s="2">
        <f>T1661-W1661</f>
        <v>169</v>
      </c>
      <c r="AL1661" s="5">
        <f>(T1661-W1661)/T1661</f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>(T1662-W1662)/T1662</f>
        <v>0.25</v>
      </c>
      <c r="Z1662" s="2" t="s">
        <v>170</v>
      </c>
      <c r="AA1662" s="2" t="s">
        <v>170</v>
      </c>
      <c r="AF1662" s="2">
        <f>AJ1662</f>
        <v>0</v>
      </c>
      <c r="AJ1662" s="2">
        <f>AI1662*T1662</f>
        <v>0</v>
      </c>
      <c r="AK1662" s="2">
        <f>T1662-W1662</f>
        <v>10</v>
      </c>
      <c r="AL1662" s="5">
        <f>(T1662-W1662)/T1662</f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>(T1663-W1663)/T1663</f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>AJ1663</f>
        <v>0</v>
      </c>
      <c r="AJ1663" s="2">
        <f>AI1663*T1663</f>
        <v>0</v>
      </c>
      <c r="AK1663" s="2">
        <f>T1663-W1663</f>
        <v>0</v>
      </c>
      <c r="AL1663" s="5">
        <f>(T1663-W1663)/T1663</f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>(T1664-W1664)/T1664</f>
        <v>1</v>
      </c>
      <c r="Z1664" s="2" t="s">
        <v>105</v>
      </c>
      <c r="AF1664" s="2">
        <f>AJ1664</f>
        <v>0</v>
      </c>
      <c r="AJ1664" s="2">
        <f>AI1664*T1664</f>
        <v>0</v>
      </c>
      <c r="AK1664" s="2">
        <f>T1664-W1664</f>
        <v>5750</v>
      </c>
      <c r="AL1664" s="5">
        <f>(T1664-W1664)/T1664</f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>(T1665-W1665)/T1665</f>
        <v>1</v>
      </c>
      <c r="Z1665" s="2" t="s">
        <v>105</v>
      </c>
      <c r="AF1665" s="2">
        <f>AJ1665</f>
        <v>0</v>
      </c>
      <c r="AJ1665" s="2">
        <f>AI1665*T1665</f>
        <v>0</v>
      </c>
      <c r="AK1665" s="2">
        <f>T1665-W1665</f>
        <v>6095</v>
      </c>
      <c r="AL1665" s="5">
        <f>(T1665-W1665)/T1665</f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>(T1666-W1666)/T1666</f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>AJ1666</f>
        <v>0</v>
      </c>
      <c r="AJ1666" s="2">
        <f>AI1666*T1666</f>
        <v>0</v>
      </c>
      <c r="AK1666" s="2">
        <f>T1666-W1666</f>
        <v>47.4</v>
      </c>
      <c r="AL1666" s="5">
        <f>(T1666-W1666)/T1666</f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>(T1667-W1667)/T1667</f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>AJ1667</f>
        <v>0</v>
      </c>
      <c r="AJ1667" s="2">
        <f>AI1667*T1667</f>
        <v>0</v>
      </c>
      <c r="AK1667" s="2">
        <f>T1667-W1667</f>
        <v>50</v>
      </c>
      <c r="AL1667" s="5">
        <f>(T1667-W1667)/T1667</f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>(T1668-W1668)/T1668</f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>AJ1668</f>
        <v>0</v>
      </c>
      <c r="AJ1668" s="2">
        <f>AI1668*T1668</f>
        <v>0</v>
      </c>
      <c r="AK1668" s="2">
        <f>T1668-W1668</f>
        <v>42</v>
      </c>
      <c r="AL1668" s="5">
        <f>(T1668-W1668)/T1668</f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>(T1669-W1669)/T1669</f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>AJ1669</f>
        <v>0</v>
      </c>
      <c r="AJ1669" s="2">
        <f>AI1669*T1669</f>
        <v>0</v>
      </c>
      <c r="AK1669" s="2">
        <f>T1669-W1669</f>
        <v>25</v>
      </c>
      <c r="AL1669" s="5">
        <f>(T1669-W1669)/T1669</f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>(T1670-W1670)/T1670</f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>AJ1670</f>
        <v>0</v>
      </c>
      <c r="AG1670" s="2">
        <v>117.453</v>
      </c>
      <c r="AH1670" s="2">
        <v>220</v>
      </c>
      <c r="AJ1670" s="2">
        <f>AI1670*T1670</f>
        <v>0</v>
      </c>
      <c r="AK1670" s="2">
        <f>T1670-W1670</f>
        <v>92.546999999999997</v>
      </c>
      <c r="AL1670" s="5">
        <f>(T1670-W1670)/T1670</f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>(T1671-W1671)/T1671</f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>AJ1671</f>
        <v>0</v>
      </c>
      <c r="AG1671" s="2">
        <v>1.1399999999999999</v>
      </c>
      <c r="AH1671" s="2">
        <v>1.1399999999999999</v>
      </c>
      <c r="AJ1671" s="2">
        <f>AI1671*T1671</f>
        <v>0</v>
      </c>
      <c r="AK1671" s="2">
        <f>T1671-W1671</f>
        <v>0</v>
      </c>
      <c r="AL1671" s="5">
        <f>(T1671-W1671)/T1671</f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>(T1672-W1672)/T1672</f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>AJ1672</f>
        <v>0</v>
      </c>
      <c r="AJ1672" s="2">
        <f>AI1672*T1672</f>
        <v>0</v>
      </c>
      <c r="AK1672" s="2">
        <f>T1672-W1672</f>
        <v>68.86</v>
      </c>
      <c r="AL1672" s="5">
        <f>(T1672-W1672)/T1672</f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>(T1673-W1673)/T1673</f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>AJ1673</f>
        <v>0</v>
      </c>
      <c r="AJ1673" s="2">
        <f>AI1673*T1673</f>
        <v>0</v>
      </c>
      <c r="AK1673" s="2">
        <f>T1673-W1673</f>
        <v>69</v>
      </c>
      <c r="AL1673" s="5">
        <f>(T1673-W1673)/T1673</f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>(T1674-W1674)/T1674</f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>AJ1674</f>
        <v>0</v>
      </c>
      <c r="AJ1674" s="2">
        <f>AI1674*T1674</f>
        <v>0</v>
      </c>
      <c r="AK1674" s="2">
        <f>T1674-W1674</f>
        <v>37.5</v>
      </c>
      <c r="AL1674" s="5">
        <f>(T1674-W1674)/T1674</f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>(T1675-W1675)/T1675</f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>AJ1675</f>
        <v>0</v>
      </c>
      <c r="AG1675" s="2">
        <v>122.446</v>
      </c>
      <c r="AH1675" s="2">
        <v>230</v>
      </c>
      <c r="AJ1675" s="2">
        <f>AI1675*T1675</f>
        <v>0</v>
      </c>
      <c r="AK1675" s="2">
        <f>T1675-W1675</f>
        <v>107.554</v>
      </c>
      <c r="AL1675" s="5">
        <f>(T1675-W1675)/T1675</f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>(T1676-W1676)/T1676</f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>AJ1676</f>
        <v>0</v>
      </c>
      <c r="AG1676" s="2">
        <v>1.1399999999999999</v>
      </c>
      <c r="AH1676" s="2">
        <v>1.1399999999999999</v>
      </c>
      <c r="AJ1676" s="2">
        <f>AI1676*T1676</f>
        <v>0</v>
      </c>
      <c r="AK1676" s="2">
        <f>T1676-W1676</f>
        <v>0</v>
      </c>
      <c r="AL1676" s="5">
        <f>(T1676-W1676)/T1676</f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>(T1677-W1677)/T1677</f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>AJ1677</f>
        <v>0</v>
      </c>
      <c r="AJ1677" s="2">
        <f>AI1677*T1677</f>
        <v>0</v>
      </c>
      <c r="AK1677" s="2">
        <f>T1677-W1677</f>
        <v>30</v>
      </c>
      <c r="AL1677" s="5">
        <f>(T1677-W1677)/T1677</f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>(T1678-W1678)/T1678</f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>AJ1678</f>
        <v>0</v>
      </c>
      <c r="AJ1678" s="2">
        <f>AI1678*T1678</f>
        <v>0</v>
      </c>
      <c r="AK1678" s="2">
        <f>T1678-W1678</f>
        <v>31.25</v>
      </c>
      <c r="AL1678" s="5">
        <f>(T1678-W1678)/T1678</f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>(T1679-W1679)/T1679</f>
        <v>1</v>
      </c>
      <c r="Z1679" s="2" t="s">
        <v>3231</v>
      </c>
      <c r="AF1679" s="2">
        <f>AJ1679</f>
        <v>0</v>
      </c>
      <c r="AJ1679" s="2">
        <f>AI1679*T1679</f>
        <v>0</v>
      </c>
      <c r="AK1679" s="2">
        <f>T1679-W1679</f>
        <v>180</v>
      </c>
      <c r="AL1679" s="5">
        <f>(T1679-W1679)/T1679</f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>(T1680-W1680)/T1680</f>
        <v>1</v>
      </c>
      <c r="AF1680" s="2">
        <f>AJ1680</f>
        <v>0</v>
      </c>
      <c r="AJ1680" s="2">
        <f>AI1680*T1680</f>
        <v>0</v>
      </c>
      <c r="AK1680" s="2">
        <f>T1680-W1680</f>
        <v>541.59</v>
      </c>
      <c r="AL1680" s="5">
        <f>(T1680-W1680)/T1680</f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>(T1681-W1681)/T1681</f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>AJ1681</f>
        <v>0</v>
      </c>
      <c r="AJ1681" s="2">
        <f>AI1681*T1681</f>
        <v>0</v>
      </c>
      <c r="AK1681" s="2">
        <f>T1681-W1681</f>
        <v>79.650000000000006</v>
      </c>
      <c r="AL1681" s="5">
        <f>(T1681-W1681)/T1681</f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>(T1682-W1682)/T1682</f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>AJ1682</f>
        <v>0</v>
      </c>
      <c r="AJ1682" s="2">
        <f>AI1682*T1682</f>
        <v>0</v>
      </c>
      <c r="AK1682" s="2">
        <f>T1682-W1682</f>
        <v>66.25</v>
      </c>
      <c r="AL1682" s="5">
        <f>(T1682-W1682)/T1682</f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>(T1683-W1683)/T1683</f>
        <v>1</v>
      </c>
      <c r="Z1683" s="2" t="s">
        <v>120</v>
      </c>
      <c r="AA1683" s="2" t="s">
        <v>3384</v>
      </c>
      <c r="AF1683" s="2">
        <f>AJ1683</f>
        <v>0</v>
      </c>
      <c r="AJ1683" s="2">
        <f>AI1683*T1683</f>
        <v>0</v>
      </c>
      <c r="AK1683" s="2">
        <f>T1683-W1683</f>
        <v>99.75</v>
      </c>
      <c r="AL1683" s="5">
        <f>(T1683-W1683)/T1683</f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>(T1684-W1684)/T1684</f>
        <v>1</v>
      </c>
      <c r="Z1684" s="2" t="s">
        <v>105</v>
      </c>
      <c r="AC1684" s="2" t="s">
        <v>102</v>
      </c>
      <c r="AF1684" s="2">
        <f>AJ1684</f>
        <v>0</v>
      </c>
      <c r="AJ1684" s="2">
        <f>AI1684*T1684</f>
        <v>0</v>
      </c>
      <c r="AK1684" s="2">
        <f>T1684-W1684</f>
        <v>3600</v>
      </c>
      <c r="AL1684" s="5">
        <f>(T1684-W1684)/T1684</f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>(T1685-W1685)/T1685</f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>AJ1685</f>
        <v>0</v>
      </c>
      <c r="AJ1685" s="2">
        <f>AI1685*T1685</f>
        <v>0</v>
      </c>
      <c r="AK1685" s="2">
        <f>T1685-W1685</f>
        <v>119.39999999999999</v>
      </c>
      <c r="AL1685" s="5">
        <f>(T1685-W1685)/T1685</f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>(T1686-W1686)/T1686</f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>AJ1686</f>
        <v>0</v>
      </c>
      <c r="AG1686" s="2">
        <v>37.5</v>
      </c>
      <c r="AJ1686" s="2">
        <f>AI1686*T1686</f>
        <v>0</v>
      </c>
      <c r="AK1686" s="2">
        <f>T1686-W1686</f>
        <v>37.5</v>
      </c>
      <c r="AL1686" s="5">
        <f>(T1686-W1686)/T1686</f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>(T1687-W1687)/T1687</f>
        <v>1</v>
      </c>
      <c r="Z1687" s="2" t="s">
        <v>105</v>
      </c>
      <c r="AC1687" s="2" t="s">
        <v>1329</v>
      </c>
      <c r="AF1687" s="2">
        <f>AJ1687</f>
        <v>0</v>
      </c>
      <c r="AJ1687" s="2">
        <f>AI1687*T1687</f>
        <v>0</v>
      </c>
      <c r="AK1687" s="2">
        <f>T1687-W1687</f>
        <v>2190</v>
      </c>
      <c r="AL1687" s="5">
        <f>(T1687-W1687)/T1687</f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>(T1688-W1688)/T1688</f>
        <v>1</v>
      </c>
      <c r="Z1688" s="2" t="s">
        <v>3231</v>
      </c>
      <c r="AF1688" s="2">
        <f>AJ1688</f>
        <v>0</v>
      </c>
      <c r="AJ1688" s="2">
        <f>AI1688*T1688</f>
        <v>0</v>
      </c>
      <c r="AK1688" s="2">
        <f>T1688-W1688</f>
        <v>39</v>
      </c>
      <c r="AL1688" s="5">
        <f>(T1688-W1688)/T1688</f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>(T1689-W1689)/T1689</f>
        <v>1</v>
      </c>
      <c r="Z1689" s="2" t="s">
        <v>3231</v>
      </c>
      <c r="AF1689" s="2">
        <f>AJ1689</f>
        <v>0</v>
      </c>
      <c r="AJ1689" s="2">
        <f>AI1689*T1689</f>
        <v>0</v>
      </c>
      <c r="AK1689" s="2">
        <f>T1689-W1689</f>
        <v>39</v>
      </c>
      <c r="AL1689" s="5">
        <f>(T1689-W1689)/T1689</f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>(T1690-W1690)/T1690</f>
        <v>1</v>
      </c>
      <c r="Z1690" s="2" t="s">
        <v>170</v>
      </c>
      <c r="AA1690" s="2" t="s">
        <v>170</v>
      </c>
      <c r="AF1690" s="2">
        <f>AJ1690</f>
        <v>0</v>
      </c>
      <c r="AJ1690" s="2">
        <f>AI1690*T1690</f>
        <v>0</v>
      </c>
      <c r="AK1690" s="2">
        <f>T1690-W1690</f>
        <v>8.5</v>
      </c>
      <c r="AL1690" s="5">
        <f>(T1690-W1690)/T1690</f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>(T1691-W1691)/T1691</f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>AJ1691</f>
        <v>0</v>
      </c>
      <c r="AG1691" s="2">
        <v>104.49</v>
      </c>
      <c r="AH1691" s="2">
        <v>220</v>
      </c>
      <c r="AJ1691" s="2">
        <f>AI1691*T1691</f>
        <v>0</v>
      </c>
      <c r="AK1691" s="2">
        <f>T1691-W1691</f>
        <v>85.51</v>
      </c>
      <c r="AL1691" s="5">
        <f>(T1691-W1691)/T1691</f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>(T1692-W1692)/T1692</f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>AJ1692</f>
        <v>0</v>
      </c>
      <c r="AJ1692" s="2">
        <f>AI1692*T1692</f>
        <v>0</v>
      </c>
      <c r="AK1692" s="2">
        <f>T1692-W1692</f>
        <v>0</v>
      </c>
      <c r="AL1692" s="5">
        <f>(T1692-W1692)/T1692</f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>(T1693-W1693)/T1693</f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>AJ1693</f>
        <v>0</v>
      </c>
      <c r="AJ1693" s="2">
        <f>AI1693*T1693</f>
        <v>0</v>
      </c>
      <c r="AK1693" s="2">
        <f>T1693-W1693</f>
        <v>748.04</v>
      </c>
      <c r="AL1693" s="5">
        <f>(T1693-W1693)/T1693</f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>(T1694-W1694)/T1694</f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>AJ1694</f>
        <v>0</v>
      </c>
      <c r="AJ1694" s="2">
        <f>AI1694*T1694</f>
        <v>0</v>
      </c>
      <c r="AK1694" s="2">
        <f>T1694-W1694</f>
        <v>5320.6</v>
      </c>
      <c r="AL1694" s="5">
        <f>(T1694-W1694)/T1694</f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>(T1695-W1695)/T1695</f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>AJ1695</f>
        <v>0</v>
      </c>
      <c r="AJ1695" s="2">
        <f>AI1695*T1695</f>
        <v>0</v>
      </c>
      <c r="AK1695" s="2">
        <f>T1695-W1695</f>
        <v>102.6</v>
      </c>
      <c r="AL1695" s="5">
        <f>(T1695-W1695)/T1695</f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>(T1696-W1696)/T1696</f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>AJ1696</f>
        <v>0</v>
      </c>
      <c r="AJ1696" s="2">
        <f>AI1696*T1696</f>
        <v>0</v>
      </c>
      <c r="AK1696" s="2">
        <f>T1696-W1696</f>
        <v>25</v>
      </c>
      <c r="AL1696" s="5">
        <f>(T1696-W1696)/T1696</f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>(T1697-W1697)/T1697</f>
        <v>1</v>
      </c>
      <c r="Z1697" s="2" t="s">
        <v>120</v>
      </c>
      <c r="AA1697" s="2" t="s">
        <v>3384</v>
      </c>
      <c r="AF1697" s="2">
        <f>AJ1697</f>
        <v>0</v>
      </c>
      <c r="AJ1697" s="2">
        <f>AI1697*T1697</f>
        <v>0</v>
      </c>
      <c r="AK1697" s="2">
        <f>T1697-W1697</f>
        <v>267.18</v>
      </c>
      <c r="AL1697" s="5">
        <f>(T1697-W1697)/T1697</f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>(T1698-W1698)/T1698</f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>AJ1698</f>
        <v>0</v>
      </c>
      <c r="AJ1698" s="2">
        <f>AI1698*T1698</f>
        <v>0</v>
      </c>
      <c r="AK1698" s="2">
        <f>T1698-W1698</f>
        <v>33</v>
      </c>
      <c r="AL1698" s="5">
        <f>(T1698-W1698)/T1698</f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>(T1699-W1699)/T1699</f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>AJ1699</f>
        <v>0</v>
      </c>
      <c r="AJ1699" s="2">
        <f>AI1699*T1699</f>
        <v>0</v>
      </c>
      <c r="AK1699" s="2">
        <f>T1699-W1699</f>
        <v>37.5</v>
      </c>
      <c r="AL1699" s="5">
        <f>(T1699-W1699)/T1699</f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>(T1700-W1700)/T1700</f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>AJ1700</f>
        <v>0</v>
      </c>
      <c r="AG1700" s="2">
        <v>6.6266999999999996</v>
      </c>
      <c r="AH1700" s="2">
        <v>12</v>
      </c>
      <c r="AJ1700" s="2">
        <f>AI1700*T1700</f>
        <v>0</v>
      </c>
      <c r="AK1700" s="2">
        <f>T1700-W1700</f>
        <v>10.746600000000001</v>
      </c>
      <c r="AL1700" s="5">
        <f>(T1700-W1700)/T1700</f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>(T1701-W1701)/T1701</f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>AJ1701</f>
        <v>0</v>
      </c>
      <c r="AG1701" s="2">
        <v>3.7357999999999998</v>
      </c>
      <c r="AH1701" s="2">
        <v>9</v>
      </c>
      <c r="AJ1701" s="2">
        <f>AI1701*T1701</f>
        <v>0</v>
      </c>
      <c r="AK1701" s="2">
        <f>T1701-W1701</f>
        <v>4.0641999999999996</v>
      </c>
      <c r="AL1701" s="5">
        <f>(T1701-W1701)/T1701</f>
        <v>0.52105128205128204</v>
      </c>
    </row>
    <row r="1702" spans="1:38" x14ac:dyDescent="0.2">
      <c r="A1702" s="2">
        <v>2025</v>
      </c>
      <c r="B1702" s="2">
        <v>8</v>
      </c>
      <c r="C1702" s="2" t="s">
        <v>3414</v>
      </c>
      <c r="D1702" s="2" t="s">
        <v>3413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>(T1702-W1702)/T1702</f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>AJ1702</f>
        <v>0</v>
      </c>
      <c r="AG1702" s="2">
        <f>6330+159.85</f>
        <v>6489.85</v>
      </c>
      <c r="AJ1702" s="2">
        <f>AI1702*T1702</f>
        <v>0</v>
      </c>
      <c r="AK1702" s="2">
        <f>T1702-W1702</f>
        <v>1010.1499999999996</v>
      </c>
      <c r="AL1702" s="5">
        <f>(T1702-W1702)/T1702</f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>(T1703-W1703)/T1703</f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>AJ1703</f>
        <v>0</v>
      </c>
      <c r="AG1703" s="2">
        <v>10.6</v>
      </c>
      <c r="AH1703" s="2">
        <v>18</v>
      </c>
      <c r="AJ1703" s="2">
        <f>AI1703*T1703</f>
        <v>0</v>
      </c>
      <c r="AK1703" s="2">
        <f>T1703-W1703</f>
        <v>29.6</v>
      </c>
      <c r="AL1703" s="5">
        <f>(T1703-W1703)/T1703</f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>(T1704-W1704)/T1704</f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>AJ1704</f>
        <v>0</v>
      </c>
      <c r="AJ1704" s="2">
        <f>AI1704*T1704</f>
        <v>0</v>
      </c>
      <c r="AK1704" s="2">
        <f>T1704-W1704</f>
        <v>90</v>
      </c>
      <c r="AL1704" s="5">
        <f>(T1704-W1704)/T1704</f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>(T1705-W1705)/T1705</f>
        <v>0.30000000000000004</v>
      </c>
      <c r="Z1705" s="2" t="s">
        <v>3231</v>
      </c>
      <c r="AA1705" s="2" t="s">
        <v>156</v>
      </c>
      <c r="AB1705" s="2" t="s">
        <v>3407</v>
      </c>
      <c r="AC1705" s="2" t="s">
        <v>1329</v>
      </c>
      <c r="AF1705" s="2">
        <f>AJ1705</f>
        <v>0</v>
      </c>
      <c r="AJ1705" s="2">
        <f>AI1705*T1705</f>
        <v>0</v>
      </c>
      <c r="AK1705" s="2">
        <f>T1705-W1705</f>
        <v>8.1000000000000014</v>
      </c>
      <c r="AL1705" s="5">
        <f>(T1705-W1705)/T1705</f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>(T1706-W1706)/T1706</f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>AJ1706</f>
        <v>0</v>
      </c>
      <c r="AG1706" s="2">
        <v>15.020300000000001</v>
      </c>
      <c r="AH1706" s="2">
        <v>27.6</v>
      </c>
      <c r="AJ1706" s="2">
        <f>AI1706*T1706</f>
        <v>0</v>
      </c>
      <c r="AK1706" s="2">
        <f>T1706-W1706</f>
        <v>17.959399999999999</v>
      </c>
      <c r="AL1706" s="5">
        <f>(T1706-W1706)/T1706</f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>(T1707-W1707)/T1707</f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>AJ1707</f>
        <v>0</v>
      </c>
      <c r="AG1707" s="2">
        <v>7.2217000000000002</v>
      </c>
      <c r="AH1707" s="2">
        <v>14.4</v>
      </c>
      <c r="AJ1707" s="2">
        <f>AI1707*T1707</f>
        <v>0</v>
      </c>
      <c r="AK1707" s="2">
        <f>T1707-W1707</f>
        <v>5.9782999999999991</v>
      </c>
      <c r="AL1707" s="5">
        <f>(T1707-W1707)/T1707</f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>(T1708-W1708)/T1708</f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>AJ1708</f>
        <v>0</v>
      </c>
      <c r="AJ1708" s="2">
        <f>AI1708*T1708</f>
        <v>0</v>
      </c>
      <c r="AK1708" s="2">
        <f>T1708-W1708</f>
        <v>7.125</v>
      </c>
      <c r="AL1708" s="5">
        <f>(T1708-W1708)/T1708</f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>(T1709-W1709)/T1709</f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>AJ1709</f>
        <v>0</v>
      </c>
      <c r="AJ1709" s="2">
        <f>AI1709*T1709</f>
        <v>0</v>
      </c>
      <c r="AK1709" s="2">
        <f>T1709-W1709</f>
        <v>19.8</v>
      </c>
      <c r="AL1709" s="5">
        <f>(T1709-W1709)/T1709</f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>(T1710-W1710)/T1710</f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>AJ1710</f>
        <v>0</v>
      </c>
      <c r="AG1710" s="2">
        <v>10.6</v>
      </c>
      <c r="AH1710" s="2">
        <v>18</v>
      </c>
      <c r="AJ1710" s="2">
        <f>AI1710*T1710</f>
        <v>0</v>
      </c>
      <c r="AK1710" s="2">
        <f>T1710-W1710</f>
        <v>12.200000000000001</v>
      </c>
      <c r="AL1710" s="5">
        <f>(T1710-W1710)/T1710</f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>(T1711-W1711)/T1711</f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>AJ1711</f>
        <v>0</v>
      </c>
      <c r="AG1711" s="2">
        <v>8.1999999999999993</v>
      </c>
      <c r="AH1711" s="2">
        <v>13</v>
      </c>
      <c r="AJ1711" s="2">
        <f>AI1711*T1711</f>
        <v>0</v>
      </c>
      <c r="AK1711" s="2">
        <f>T1711-W1711</f>
        <v>4.7999999999999989</v>
      </c>
      <c r="AL1711" s="5">
        <f>(T1711-W1711)/T1711</f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>(T1712-W1712)/T1712</f>
        <v>0.67333333333333334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>AJ1712</f>
        <v>0</v>
      </c>
      <c r="AJ1712" s="2">
        <f>AI1712*T1712</f>
        <v>0</v>
      </c>
      <c r="AK1712" s="2">
        <f>T1712-W1712</f>
        <v>2.02</v>
      </c>
      <c r="AL1712" s="5">
        <f>(T1712-W1712)/T1712</f>
        <v>0.67333333333333334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>(T1713-W1713)/T1713</f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>AJ1713</f>
        <v>0</v>
      </c>
      <c r="AJ1713" s="2">
        <f>AI1713*T1713</f>
        <v>0</v>
      </c>
      <c r="AK1713" s="2">
        <f>T1713-W1713</f>
        <v>2.3845999999999998</v>
      </c>
      <c r="AL1713" s="5">
        <f>(T1713-W1713)/T1713</f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>(T1714-W1714)/T1714</f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>AJ1714</f>
        <v>0</v>
      </c>
      <c r="AG1714" s="2">
        <v>8.1999999999999993</v>
      </c>
      <c r="AH1714" s="2">
        <v>13</v>
      </c>
      <c r="AJ1714" s="2">
        <f>AI1714*T1714</f>
        <v>0</v>
      </c>
      <c r="AK1714" s="2">
        <f>T1714-W1714</f>
        <v>4.7999999999999989</v>
      </c>
      <c r="AL1714" s="5">
        <f>(T1714-W1714)/T1714</f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>(T1715-W1715)/T1715</f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>AJ1715</f>
        <v>0</v>
      </c>
      <c r="AG1715" s="2">
        <v>15.020300000000001</v>
      </c>
      <c r="AH1715" s="2">
        <v>27.6</v>
      </c>
      <c r="AJ1715" s="2">
        <f>AI1715*T1715</f>
        <v>0</v>
      </c>
      <c r="AK1715" s="2">
        <f>T1715-W1715</f>
        <v>11.959399999999999</v>
      </c>
      <c r="AL1715" s="5">
        <f>(T1715-W1715)/T1715</f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>AJ1716</f>
        <v>0</v>
      </c>
      <c r="AJ1716" s="2">
        <f>AI1716*T1716</f>
        <v>0</v>
      </c>
      <c r="AK1716" s="2">
        <f>T1716-W1716</f>
        <v>0</v>
      </c>
      <c r="AL1716" s="20" t="s">
        <v>3405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>(T1717-W1717)/T1717</f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>AJ1717</f>
        <v>0</v>
      </c>
      <c r="AJ1717" s="2">
        <f>AI1717*T1717</f>
        <v>0</v>
      </c>
      <c r="AK1717" s="2">
        <f>T1717-W1717</f>
        <v>232</v>
      </c>
      <c r="AL1717" s="5">
        <f>(T1717-W1717)/T1717</f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>(T1718-W1718)/T1718</f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>AJ1718</f>
        <v>0</v>
      </c>
      <c r="AJ1718" s="2">
        <f>AI1718*T1718</f>
        <v>0</v>
      </c>
      <c r="AK1718" s="2">
        <f>T1718-W1718</f>
        <v>232</v>
      </c>
      <c r="AL1718" s="5">
        <f>(T1718-W1718)/T1718</f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>(T1719-W1719)/T1719</f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>AJ1719</f>
        <v>0</v>
      </c>
      <c r="AG1719" s="2">
        <v>6.6266999999999996</v>
      </c>
      <c r="AH1719" s="2">
        <v>12</v>
      </c>
      <c r="AJ1719" s="2">
        <f>AI1719*T1719</f>
        <v>0</v>
      </c>
      <c r="AK1719" s="2">
        <f>T1719-W1719</f>
        <v>5.3733000000000004</v>
      </c>
      <c r="AL1719" s="5">
        <f>(T1719-W1719)/T1719</f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>(T1720-W1720)/T1720</f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>AJ1720</f>
        <v>0</v>
      </c>
      <c r="AG1720" s="2">
        <v>3.7357999999999998</v>
      </c>
      <c r="AH1720" s="2">
        <v>9</v>
      </c>
      <c r="AJ1720" s="2">
        <f>AI1720*T1720</f>
        <v>0</v>
      </c>
      <c r="AK1720" s="2">
        <f>T1720-W1720</f>
        <v>4.0641999999999996</v>
      </c>
      <c r="AL1720" s="5">
        <f>(T1720-W1720)/T1720</f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>(T1721-W1721)/T1721</f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>AJ1721</f>
        <v>0</v>
      </c>
      <c r="AJ1721" s="2">
        <f>AI1721*T1721</f>
        <v>0</v>
      </c>
      <c r="AK1721" s="2">
        <f>T1721-W1721</f>
        <v>17.641999999999999</v>
      </c>
      <c r="AL1721" s="5">
        <f>(T1721-W1721)/T1721</f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>(T1722-W1722)/T1722</f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>AJ1722</f>
        <v>0</v>
      </c>
      <c r="AJ1722" s="2">
        <f>AI1722*T1722</f>
        <v>0</v>
      </c>
      <c r="AK1722" s="2">
        <f>T1722-W1722</f>
        <v>3.06</v>
      </c>
      <c r="AL1722" s="5">
        <f>(T1722-W1722)/T1722</f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>(T1723-W1723)/T1723</f>
        <v>0.58248333333333335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>AJ1723</f>
        <v>0</v>
      </c>
      <c r="AJ1723" s="2">
        <f>AI1723*T1723</f>
        <v>0</v>
      </c>
      <c r="AK1723" s="2">
        <f>T1723-W1723</f>
        <v>3.4948999999999999</v>
      </c>
      <c r="AL1723" s="5">
        <f>(T1723-W1723)/T1723</f>
        <v>0.58248333333333335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>(T1724-W1724)/T1724</f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>AJ1724</f>
        <v>0</v>
      </c>
      <c r="AJ1724" s="2">
        <f>AI1724*T1724</f>
        <v>0</v>
      </c>
      <c r="AK1724" s="2">
        <f>T1724-W1724</f>
        <v>763.04</v>
      </c>
      <c r="AL1724" s="5">
        <f>(T1724-W1724)/T1724</f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>(T1725-W1725)/T1725</f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>AJ1725</f>
        <v>0</v>
      </c>
      <c r="AJ1725" s="2">
        <f>AI1725*T1725</f>
        <v>0</v>
      </c>
      <c r="AK1725" s="2">
        <f>T1725-W1725</f>
        <v>46.400000000000006</v>
      </c>
      <c r="AL1725" s="5">
        <f>(T1725-W1725)/T1725</f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>(T1726-W1726)/T1726</f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>AJ1726</f>
        <v>0</v>
      </c>
      <c r="AG1726" s="2">
        <v>117.453</v>
      </c>
      <c r="AH1726" s="2">
        <v>220</v>
      </c>
      <c r="AJ1726" s="2">
        <f>AI1726*T1726</f>
        <v>0</v>
      </c>
      <c r="AK1726" s="2">
        <f>T1726-W1726</f>
        <v>92.546999999999997</v>
      </c>
      <c r="AL1726" s="5">
        <f>(T1726-W1726)/T1726</f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>(T1727-W1727)/T1727</f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>AJ1727</f>
        <v>0</v>
      </c>
      <c r="AG1727" s="2">
        <v>1.1399999999999999</v>
      </c>
      <c r="AH1727" s="2">
        <v>1.1399999999999999</v>
      </c>
      <c r="AJ1727" s="2">
        <f>AI1727*T1727</f>
        <v>0</v>
      </c>
      <c r="AK1727" s="2">
        <f>T1727-W1727</f>
        <v>0</v>
      </c>
      <c r="AL1727" s="5">
        <f>(T1727-W1727)/T1727</f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>(T1728-W1728)/T1728</f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>AJ1728</f>
        <v>0</v>
      </c>
      <c r="AG1728" s="2">
        <v>10.6</v>
      </c>
      <c r="AH1728" s="2">
        <v>18</v>
      </c>
      <c r="AJ1728" s="2">
        <f>AI1728*T1728</f>
        <v>0</v>
      </c>
      <c r="AK1728" s="2">
        <f>T1728-W1728</f>
        <v>7.4</v>
      </c>
      <c r="AL1728" s="5">
        <f>(T1728-W1728)/T1728</f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>(T1729-W1729)/T1729</f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>AJ1729</f>
        <v>0</v>
      </c>
      <c r="AG1729" s="2">
        <v>9.14</v>
      </c>
      <c r="AH1729" s="2">
        <v>16</v>
      </c>
      <c r="AJ1729" s="2">
        <f>AI1729*T1729</f>
        <v>0</v>
      </c>
      <c r="AK1729" s="2">
        <f>T1729-W1729</f>
        <v>4.8600000000000012</v>
      </c>
      <c r="AL1729" s="5">
        <f>(T1729-W1729)/T1729</f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>(T1730-W1730)/T1730</f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>AJ1730</f>
        <v>0</v>
      </c>
      <c r="AJ1730" s="2">
        <f>AI1730*T1730</f>
        <v>0</v>
      </c>
      <c r="AK1730" s="2">
        <f>T1730-W1730</f>
        <v>3.339999999999999</v>
      </c>
      <c r="AL1730" s="5">
        <f>(T1730-W1730)/T1730</f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>(T1731-W1731)/T1731</f>
        <v>0.4</v>
      </c>
      <c r="Z1731" s="2" t="s">
        <v>3231</v>
      </c>
      <c r="AA1731" s="2" t="s">
        <v>46</v>
      </c>
      <c r="AB1731" s="2" t="s">
        <v>61</v>
      </c>
      <c r="AC1731" s="2" t="s">
        <v>3409</v>
      </c>
      <c r="AF1731" s="2">
        <f>AJ1731</f>
        <v>0</v>
      </c>
      <c r="AJ1731" s="2">
        <f>AI1731*T1731</f>
        <v>0</v>
      </c>
      <c r="AK1731" s="2">
        <f>T1731-W1731</f>
        <v>62.400000000000006</v>
      </c>
      <c r="AL1731" s="5">
        <f>(T1731-W1731)/T1731</f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>AJ1732</f>
        <v>0</v>
      </c>
      <c r="AJ1732" s="2">
        <f>AI1732*T1732</f>
        <v>0</v>
      </c>
      <c r="AK1732" s="2">
        <f>T1732-W1732</f>
        <v>-33</v>
      </c>
      <c r="AL1732" s="5">
        <f>(T1732-W1732)/T1732</f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>AJ1733</f>
        <v>0</v>
      </c>
      <c r="AJ1733" s="2">
        <f>AI1733*T1733</f>
        <v>0</v>
      </c>
      <c r="AK1733" s="2">
        <f>T1733-W1733</f>
        <v>-75</v>
      </c>
      <c r="AL1733" s="5">
        <f>(T1733-W1733)/T1733</f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>(T1734-W1734)/T1734</f>
        <v>1</v>
      </c>
      <c r="Z1734" s="2" t="s">
        <v>105</v>
      </c>
      <c r="AF1734" s="2">
        <f>AJ1734</f>
        <v>0</v>
      </c>
      <c r="AJ1734" s="2">
        <f>AI1734*T1734</f>
        <v>0</v>
      </c>
      <c r="AK1734" s="2">
        <f>T1734-W1734</f>
        <v>420</v>
      </c>
      <c r="AL1734" s="5">
        <f>(T1734-W1734)/T1734</f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>(T1735-W1735)/T1735</f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>AJ1735</f>
        <v>0</v>
      </c>
      <c r="AJ1735" s="2">
        <f>AI1735*T1735</f>
        <v>0</v>
      </c>
      <c r="AK1735" s="2">
        <f>T1735-W1735</f>
        <v>445.75549999999998</v>
      </c>
      <c r="AL1735" s="5">
        <f>(T1735-W1735)/T1735</f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>(T1736-W1736)/T1736</f>
        <v>1</v>
      </c>
      <c r="Z1736" s="2" t="s">
        <v>105</v>
      </c>
      <c r="AF1736" s="2">
        <f>AJ1736</f>
        <v>0</v>
      </c>
      <c r="AJ1736" s="2">
        <f>AI1736*T1736</f>
        <v>0</v>
      </c>
      <c r="AK1736" s="2">
        <f>T1736-W1736</f>
        <v>4350</v>
      </c>
      <c r="AL1736" s="5">
        <f>(T1736-W1736)/T1736</f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>(T1737-W1737)/T1737</f>
        <v>1</v>
      </c>
      <c r="Z1737" s="2" t="s">
        <v>105</v>
      </c>
      <c r="AF1737" s="2">
        <f>AJ1737</f>
        <v>0</v>
      </c>
      <c r="AJ1737" s="2">
        <f>AI1737*T1737</f>
        <v>0</v>
      </c>
      <c r="AK1737" s="2">
        <f>T1737-W1737</f>
        <v>3990</v>
      </c>
      <c r="AL1737" s="5">
        <f>(T1737-W1737)/T1737</f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>(T1738-W1738)/T1738</f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>AJ1738</f>
        <v>0</v>
      </c>
      <c r="AG1738" s="2">
        <v>34.119999999999997</v>
      </c>
      <c r="AJ1738" s="2">
        <f>AI1738*T1738</f>
        <v>0</v>
      </c>
      <c r="AK1738" s="2">
        <f>T1738-W1738</f>
        <v>21.470000000000006</v>
      </c>
      <c r="AL1738" s="5">
        <f>(T1738-W1738)/T1738</f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>(T1739-W1739)/T1739</f>
        <v>1</v>
      </c>
      <c r="Z1739" s="2" t="s">
        <v>3231</v>
      </c>
      <c r="AF1739" s="2">
        <f>AJ1739</f>
        <v>0</v>
      </c>
      <c r="AJ1739" s="2">
        <f>AI1739*T1739</f>
        <v>0</v>
      </c>
      <c r="AK1739" s="2">
        <f>T1739-W1739</f>
        <v>199</v>
      </c>
      <c r="AL1739" s="5">
        <f>(T1739-W1739)/T1739</f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>(T1740-W1740)/T1740</f>
        <v>1</v>
      </c>
      <c r="Z1740" s="2" t="s">
        <v>3231</v>
      </c>
      <c r="AF1740" s="2">
        <f>AJ1740</f>
        <v>0</v>
      </c>
      <c r="AJ1740" s="2">
        <f>AI1740*T1740</f>
        <v>0</v>
      </c>
      <c r="AK1740" s="2">
        <f>T1740-W1740</f>
        <v>98</v>
      </c>
      <c r="AL1740" s="5">
        <f>(T1740-W1740)/T1740</f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>(T1741-W1741)/T1741</f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>AJ1741</f>
        <v>0</v>
      </c>
      <c r="AJ1741" s="2">
        <f>AI1741*T1741</f>
        <v>0</v>
      </c>
      <c r="AK1741" s="2">
        <f>T1741-W1741</f>
        <v>4858.59</v>
      </c>
      <c r="AL1741" s="5">
        <f>(T1741-W1741)/T1741</f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>(T1742-W1742)/T1742</f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>AJ1742</f>
        <v>0</v>
      </c>
      <c r="AG1742" s="2">
        <v>117.453</v>
      </c>
      <c r="AH1742" s="2">
        <v>220</v>
      </c>
      <c r="AJ1742" s="2">
        <f>AI1742*T1742</f>
        <v>0</v>
      </c>
      <c r="AK1742" s="2">
        <f>T1742-W1742</f>
        <v>185.09399999999999</v>
      </c>
      <c r="AL1742" s="5">
        <f>(T1742-W1742)/T1742</f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>(T1743-W1743)/T1743</f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>AJ1743</f>
        <v>0</v>
      </c>
      <c r="AJ1743" s="2">
        <f>AI1743*T1743</f>
        <v>0</v>
      </c>
      <c r="AK1743" s="2">
        <f>T1743-W1743</f>
        <v>0</v>
      </c>
      <c r="AL1743" s="5">
        <f>(T1743-W1743)/T1743</f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>(T1744-W1744)/T1744</f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>AJ1744</f>
        <v>0</v>
      </c>
      <c r="AG1744" s="2">
        <v>6.6266999999999996</v>
      </c>
      <c r="AH1744" s="2">
        <v>12</v>
      </c>
      <c r="AJ1744" s="2">
        <f>AI1744*T1744</f>
        <v>0</v>
      </c>
      <c r="AK1744" s="2">
        <f>T1744-W1744</f>
        <v>5.3733000000000004</v>
      </c>
      <c r="AL1744" s="5">
        <f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>(T1745-W1745)/T1745</f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>AJ1745</f>
        <v>0</v>
      </c>
      <c r="AG1745" s="2">
        <v>10.6</v>
      </c>
      <c r="AH1745" s="2">
        <v>18</v>
      </c>
      <c r="AJ1745" s="2">
        <f>AI1745*T1745</f>
        <v>0</v>
      </c>
      <c r="AK1745" s="2">
        <f>T1745-W1745</f>
        <v>14.8</v>
      </c>
      <c r="AL1745" s="5">
        <f>(T1745-W1745)/T1745</f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>(T1746-W1746)/T1746</f>
        <v>1</v>
      </c>
      <c r="Z1746" s="2" t="s">
        <v>120</v>
      </c>
      <c r="AA1746" s="2" t="s">
        <v>493</v>
      </c>
      <c r="AF1746" s="2">
        <f>AJ1746</f>
        <v>0</v>
      </c>
      <c r="AJ1746" s="2">
        <f>AI1746*T1746</f>
        <v>0</v>
      </c>
      <c r="AK1746" s="2">
        <f>T1746-W1746</f>
        <v>664.04</v>
      </c>
      <c r="AL1746" s="5">
        <f>(T1746-W1746)/T1746</f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>(T1747-W1747)/T1747</f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>AJ1747</f>
        <v>0</v>
      </c>
      <c r="AG1747" s="2">
        <v>152.85</v>
      </c>
      <c r="AH1747" s="2">
        <v>260</v>
      </c>
      <c r="AJ1747" s="2">
        <f>AI1747*T1747</f>
        <v>0</v>
      </c>
      <c r="AK1747" s="2">
        <f>T1747-W1747</f>
        <v>107.15</v>
      </c>
      <c r="AL1747" s="5">
        <f>(T1747-W1747)/T1747</f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>(T1748-W1748)/T1748</f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>AJ1748</f>
        <v>0</v>
      </c>
      <c r="AJ1748" s="2">
        <f>AI1748*T1748</f>
        <v>0</v>
      </c>
      <c r="AK1748" s="2">
        <f>T1748-W1748</f>
        <v>0</v>
      </c>
      <c r="AL1748" s="5">
        <f>(T1748-W1748)/T1748</f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>(T1749-W1749)/T1749</f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>AJ1749</f>
        <v>0</v>
      </c>
      <c r="AJ1749" s="2">
        <f>AI1749*T1749</f>
        <v>0</v>
      </c>
      <c r="AK1749" s="2">
        <f>T1749-W1749</f>
        <v>86.080000000000013</v>
      </c>
      <c r="AL1749" s="5">
        <f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>(T1750-W1750)/T1750</f>
        <v>#DIV/0!</v>
      </c>
      <c r="Z1750" s="2" t="s">
        <v>118</v>
      </c>
      <c r="AA1750" s="2" t="s">
        <v>1312</v>
      </c>
      <c r="AF1750" s="2">
        <f>AJ1750</f>
        <v>0</v>
      </c>
      <c r="AJ1750" s="2">
        <f>AI1750*T1750</f>
        <v>0</v>
      </c>
      <c r="AK1750" s="2">
        <f>T1750-W1750</f>
        <v>0</v>
      </c>
      <c r="AL1750" s="5" t="e">
        <f>(T1750-W1750)/T1750</f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>(T1751-W1751)/T1751</f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>AJ1751</f>
        <v>0</v>
      </c>
      <c r="AJ1751" s="2">
        <f>AI1751*T1751</f>
        <v>0</v>
      </c>
      <c r="AK1751" s="2">
        <f>T1751-W1751</f>
        <v>0</v>
      </c>
      <c r="AL1751" s="5">
        <f>(T1751-W1751)/T1751</f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>(T1752-W1752)/T1752</f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>AJ1752</f>
        <v>0</v>
      </c>
      <c r="AG1752" s="2">
        <v>3.7357999999999998</v>
      </c>
      <c r="AH1752" s="2">
        <v>9</v>
      </c>
      <c r="AJ1752" s="2">
        <f>AI1752*T1752</f>
        <v>0</v>
      </c>
      <c r="AK1752" s="2">
        <f>T1752-W1752</f>
        <v>4.0641999999999996</v>
      </c>
      <c r="AL1752" s="5">
        <f>(T1752-W1752)/T1752</f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>(T1753-W1753)/T1753</f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>AJ1753</f>
        <v>0</v>
      </c>
      <c r="AJ1753" s="2">
        <f>AI1753*T1753</f>
        <v>0</v>
      </c>
      <c r="AK1753" s="2">
        <f>T1753-W1753</f>
        <v>1190</v>
      </c>
      <c r="AL1753" s="5">
        <f>(T1753-W1753)/T1753</f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>(T1754-W1754)/T1754</f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>AJ1754</f>
        <v>0</v>
      </c>
      <c r="AJ1754" s="2">
        <f>AI1754*T1754</f>
        <v>0</v>
      </c>
      <c r="AK1754" s="2">
        <f>T1754-W1754</f>
        <v>21.9</v>
      </c>
      <c r="AL1754" s="5">
        <f>(T1754-W1754)/T1754</f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>(T1755-W1755)/T1755</f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>AJ1755</f>
        <v>0</v>
      </c>
      <c r="AJ1755" s="2">
        <f>AI1755*T1755</f>
        <v>0</v>
      </c>
      <c r="AK1755" s="2">
        <f>T1755-W1755</f>
        <v>36.9</v>
      </c>
      <c r="AL1755" s="5">
        <f>(T1755-W1755)/T1755</f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>(T1756-W1756)/T1756</f>
        <v>1</v>
      </c>
      <c r="Z1756" s="2" t="s">
        <v>3231</v>
      </c>
      <c r="AF1756" s="2">
        <f>AJ1756</f>
        <v>0</v>
      </c>
      <c r="AJ1756" s="2">
        <f>AI1756*T1756</f>
        <v>0</v>
      </c>
      <c r="AK1756" s="2">
        <f>T1756-W1756</f>
        <v>8.1999999999999993</v>
      </c>
      <c r="AL1756" s="5">
        <f>(T1756-W1756)/T1756</f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>(T1757-W1757)/T1757</f>
        <v>1</v>
      </c>
      <c r="Z1757" s="2" t="s">
        <v>3231</v>
      </c>
      <c r="AF1757" s="2">
        <f>AJ1757</f>
        <v>0</v>
      </c>
      <c r="AJ1757" s="2">
        <f>AI1757*T1757</f>
        <v>0</v>
      </c>
      <c r="AK1757" s="2">
        <f>T1757-W1757</f>
        <v>7.2</v>
      </c>
      <c r="AL1757" s="5">
        <f>(T1757-W1757)/T1757</f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>(T1758-W1758)/T1758</f>
        <v>1</v>
      </c>
      <c r="Z1758" s="2" t="s">
        <v>3231</v>
      </c>
      <c r="AF1758" s="2">
        <f>AJ1758</f>
        <v>0</v>
      </c>
      <c r="AJ1758" s="2">
        <f>AI1758*T1758</f>
        <v>0</v>
      </c>
      <c r="AK1758" s="2">
        <f>T1758-W1758</f>
        <v>28.9</v>
      </c>
      <c r="AL1758" s="5">
        <f>(T1758-W1758)/T1758</f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E1759" s="2" t="s">
        <v>109</v>
      </c>
      <c r="F1759" s="2" t="s">
        <v>39</v>
      </c>
      <c r="L1759" s="2" t="s">
        <v>100</v>
      </c>
      <c r="M1759" s="2" t="s">
        <v>41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>(T1759-W1759)/T1759</f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>AJ1759</f>
        <v>0</v>
      </c>
      <c r="AG1759" s="2">
        <v>8.1999999999999993</v>
      </c>
      <c r="AH1759" s="2">
        <v>13</v>
      </c>
      <c r="AJ1759" s="2">
        <f>AI1759*T1759</f>
        <v>0</v>
      </c>
      <c r="AK1759" s="2">
        <f>T1759-W1759</f>
        <v>23</v>
      </c>
      <c r="AL1759" s="5">
        <f>(T1759-W1759)/T1759</f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E1760" s="2" t="s">
        <v>109</v>
      </c>
      <c r="F1760" s="2" t="s">
        <v>39</v>
      </c>
      <c r="L1760" s="2" t="s">
        <v>100</v>
      </c>
      <c r="M1760" s="2" t="s">
        <v>41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>(T1760-W1760)/T1760</f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>AJ1760</f>
        <v>0</v>
      </c>
      <c r="AG1760" s="2">
        <v>15.020300000000001</v>
      </c>
      <c r="AH1760" s="2">
        <v>27.6</v>
      </c>
      <c r="AJ1760" s="2">
        <f>AI1760*T1760</f>
        <v>0</v>
      </c>
      <c r="AK1760" s="2">
        <f>T1760-W1760</f>
        <v>35.878199999999993</v>
      </c>
      <c r="AL1760" s="5">
        <f>(T1760-W1760)/T1760</f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>(T1761-W1761)/T1761</f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>AJ1761</f>
        <v>0</v>
      </c>
      <c r="AJ1761" s="2">
        <f>AI1761*T1761</f>
        <v>0</v>
      </c>
      <c r="AK1761" s="2">
        <f>T1761-W1761</f>
        <v>30</v>
      </c>
      <c r="AL1761" s="5">
        <f>(T1761-W1761)/T1761</f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>(T1762-W1762)/T1762</f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>AJ1762</f>
        <v>0</v>
      </c>
      <c r="AJ1762" s="2">
        <f>AI1762*T1762</f>
        <v>0</v>
      </c>
      <c r="AK1762" s="2">
        <f>T1762-W1762</f>
        <v>25</v>
      </c>
      <c r="AL1762" s="5">
        <f>(T1762-W1762)/T1762</f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>(T1763-W1763)/T1763</f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>AJ1763</f>
        <v>0</v>
      </c>
      <c r="AG1763" s="2">
        <v>5.9066999999999998</v>
      </c>
      <c r="AH1763" s="2">
        <v>12.6</v>
      </c>
      <c r="AJ1763" s="2">
        <f>AI1763*T1763</f>
        <v>0</v>
      </c>
      <c r="AK1763" s="2">
        <f>T1763-W1763</f>
        <v>6.0933000000000002</v>
      </c>
      <c r="AL1763" s="5">
        <f>(T1763-W1763)/T1763</f>
        <v>0.50777499999999998</v>
      </c>
    </row>
    <row r="1764" spans="1:38" x14ac:dyDescent="0.2">
      <c r="A1764" s="2">
        <v>2025</v>
      </c>
      <c r="B1764" s="2">
        <v>8</v>
      </c>
      <c r="C1764" s="2" t="s">
        <v>3475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M1764" s="2" t="s">
        <v>81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>(T1764-W1764)/T1764</f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>AJ1764</f>
        <v>0</v>
      </c>
      <c r="AG1764" s="2">
        <v>7.2217000000000002</v>
      </c>
      <c r="AH1764" s="2">
        <v>14.4</v>
      </c>
      <c r="AJ1764" s="2">
        <f>AI1764*T1764</f>
        <v>0</v>
      </c>
      <c r="AK1764" s="2">
        <f>T1764-W1764</f>
        <v>5.9782999999999991</v>
      </c>
      <c r="AL1764" s="5">
        <f>(T1764-W1764)/T1764</f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>(T1765-W1765)/T1765</f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>AJ1765</f>
        <v>0</v>
      </c>
      <c r="AG1765" s="2">
        <v>15.020300000000001</v>
      </c>
      <c r="AH1765" s="2">
        <v>27.6</v>
      </c>
      <c r="AJ1765" s="2">
        <f>AI1765*T1765</f>
        <v>0</v>
      </c>
      <c r="AK1765" s="2">
        <f>T1765-W1765</f>
        <v>11.379699999999998</v>
      </c>
      <c r="AL1765" s="5">
        <f>(T1765-W1765)/T1765</f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>(T1766-W1766)/T1766</f>
        <v>1</v>
      </c>
      <c r="Z1766" s="2" t="s">
        <v>118</v>
      </c>
      <c r="AF1766" s="2">
        <f>AJ1766</f>
        <v>0</v>
      </c>
      <c r="AJ1766" s="2">
        <f>AI1766*T1766</f>
        <v>0</v>
      </c>
      <c r="AK1766" s="2">
        <f>T1766-W1766</f>
        <v>46.59</v>
      </c>
      <c r="AL1766" s="5">
        <f>(T1766-W1766)/T1766</f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>(T1767-W1767)/T1767</f>
        <v>1</v>
      </c>
      <c r="Z1767" s="2" t="s">
        <v>3231</v>
      </c>
      <c r="AF1767" s="2">
        <f>AJ1767</f>
        <v>0</v>
      </c>
      <c r="AJ1767" s="2">
        <f>AI1767*T1767</f>
        <v>0</v>
      </c>
      <c r="AK1767" s="2">
        <f>T1767-W1767</f>
        <v>100</v>
      </c>
      <c r="AL1767" s="5">
        <f>(T1767-W1767)/T1767</f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>(T1768-W1768)/T1768</f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>AJ1768</f>
        <v>0</v>
      </c>
      <c r="AG1768" s="2">
        <v>6.6266999999999996</v>
      </c>
      <c r="AH1768" s="2">
        <v>12</v>
      </c>
      <c r="AJ1768" s="2">
        <f>AI1768*T1768</f>
        <v>0</v>
      </c>
      <c r="AK1768" s="2">
        <f>T1768-W1768</f>
        <v>5.3733000000000004</v>
      </c>
      <c r="AL1768" s="5">
        <f>(T1768-W1768)/T1768</f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>(T1769-W1769)/T1769</f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>AJ1769</f>
        <v>0</v>
      </c>
      <c r="AG1769" s="2">
        <v>10.6</v>
      </c>
      <c r="AH1769" s="2">
        <v>18</v>
      </c>
      <c r="AJ1769" s="2">
        <f>AI1769*T1769</f>
        <v>0</v>
      </c>
      <c r="AK1769" s="2">
        <f>T1769-W1769</f>
        <v>7.4</v>
      </c>
      <c r="AL1769" s="5">
        <f>(T1769-W1769)/T1769</f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>(T1770-W1770)/T1770</f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>AJ1770</f>
        <v>0</v>
      </c>
      <c r="AJ1770" s="2">
        <f>AI1770*T1770</f>
        <v>0</v>
      </c>
      <c r="AK1770" s="2">
        <f>T1770-W1770</f>
        <v>812</v>
      </c>
      <c r="AL1770" s="5">
        <f>(T1770-W1770)/T1770</f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>(T1771-W1771)/T1771</f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>AJ1771</f>
        <v>0</v>
      </c>
      <c r="AG1771" s="2">
        <v>29.27</v>
      </c>
      <c r="AH1771" s="2">
        <v>60</v>
      </c>
      <c r="AJ1771" s="2">
        <f>AI1771*T1771</f>
        <v>0</v>
      </c>
      <c r="AK1771" s="2">
        <f>T1771-W1771</f>
        <v>10.73</v>
      </c>
      <c r="AL1771" s="5">
        <f>(T1771-W1771)/T1771</f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>(T1772-W1772)/T1772</f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>AJ1772</f>
        <v>0</v>
      </c>
      <c r="AG1772" s="2">
        <v>8.1999999999999993</v>
      </c>
      <c r="AH1772" s="2">
        <v>13</v>
      </c>
      <c r="AJ1772" s="2">
        <f>AI1772*T1772</f>
        <v>0</v>
      </c>
      <c r="AK1772" s="2">
        <f>T1772-W1772</f>
        <v>4.7999999999999989</v>
      </c>
      <c r="AL1772" s="5">
        <f>(T1772-W1772)/T1772</f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>(T1773-W1773)/T1773</f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>AJ1773</f>
        <v>0</v>
      </c>
      <c r="AG1773" s="2">
        <v>15.020300000000001</v>
      </c>
      <c r="AH1773" s="2">
        <v>27.6</v>
      </c>
      <c r="AJ1773" s="2">
        <f>AI1773*T1773</f>
        <v>0</v>
      </c>
      <c r="AK1773" s="2">
        <f>T1773-W1773</f>
        <v>6.9796999999999993</v>
      </c>
      <c r="AL1773" s="5">
        <f>(T1773-W1773)/T1773</f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>(T1774-W1774)/T1774</f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>AJ1774</f>
        <v>0</v>
      </c>
      <c r="AG1774" s="2">
        <v>117.453</v>
      </c>
      <c r="AH1774" s="2">
        <v>220</v>
      </c>
      <c r="AJ1774" s="2">
        <f>AI1774*T1774</f>
        <v>0</v>
      </c>
      <c r="AK1774" s="2">
        <f>T1774-W1774</f>
        <v>102.42699999999999</v>
      </c>
      <c r="AL1774" s="5">
        <f>(T1774-W1774)/T1774</f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>(T1775-W1775)/T1775</f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>AJ1775</f>
        <v>0</v>
      </c>
      <c r="AG1775" s="2">
        <v>111.98</v>
      </c>
      <c r="AH1775" s="2">
        <v>210</v>
      </c>
      <c r="AJ1775" s="2">
        <f>AI1775*T1775</f>
        <v>0</v>
      </c>
      <c r="AK1775" s="2">
        <f>T1775-W1775</f>
        <v>92.26</v>
      </c>
      <c r="AL1775" s="5">
        <f>(T1775-W1775)/T1775</f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>(T1776-W1776)/T1776</f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>AJ1776</f>
        <v>0</v>
      </c>
      <c r="AG1776" s="2">
        <f>110.125+11.77</f>
        <v>121.895</v>
      </c>
      <c r="AJ1776" s="2">
        <f>AI1776*T1776</f>
        <v>0</v>
      </c>
      <c r="AK1776" s="2">
        <f>T1776-W1776</f>
        <v>83.105000000000004</v>
      </c>
      <c r="AL1776" s="5">
        <f>(T1776-W1776)/T1776</f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>(T1777-W1777)/T1777</f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>AJ1777</f>
        <v>0</v>
      </c>
      <c r="AJ1777" s="2">
        <f>AI1777*T1777</f>
        <v>0</v>
      </c>
      <c r="AK1777" s="2">
        <f>T1777-W1777</f>
        <v>0</v>
      </c>
      <c r="AL1777" s="5">
        <f>(T1777-W1777)/T1777</f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>(T1778-W1778)/T1778</f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>AJ1778</f>
        <v>0</v>
      </c>
      <c r="AG1778" s="2">
        <v>22.2</v>
      </c>
      <c r="AJ1778" s="2">
        <f>AI1778*T1778</f>
        <v>0</v>
      </c>
      <c r="AK1778" s="2">
        <f>T1778-W1778</f>
        <v>15.588000000000001</v>
      </c>
      <c r="AL1778" s="5">
        <f>(T1778-W1778)/T1778</f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>(T1779-W1779)/T1779</f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>AJ1779</f>
        <v>0</v>
      </c>
      <c r="AJ1779" s="2">
        <f>AI1779*T1779</f>
        <v>0</v>
      </c>
      <c r="AK1779" s="2">
        <f>T1779-W1779</f>
        <v>1074.0199999999995</v>
      </c>
      <c r="AL1779" s="5">
        <f>(T1779-W1779)/T1779</f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E1780" s="2" t="s">
        <v>109</v>
      </c>
      <c r="F1780" s="2" t="s">
        <v>39</v>
      </c>
      <c r="L1780" s="2" t="s">
        <v>113</v>
      </c>
      <c r="M1780" s="2" t="s">
        <v>110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>(T1780-W1780)/T1780</f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>AJ1780</f>
        <v>0</v>
      </c>
      <c r="AG1780" s="2">
        <v>5.9066999999999998</v>
      </c>
      <c r="AH1780" s="2">
        <v>12.6</v>
      </c>
      <c r="AJ1780" s="2">
        <f>AI1780*T1780</f>
        <v>0</v>
      </c>
      <c r="AK1780" s="2">
        <f>T1780-W1780</f>
        <v>6.0933000000000002</v>
      </c>
      <c r="AL1780" s="5">
        <f>(T1780-W1780)/T1780</f>
        <v>0.50777499999999998</v>
      </c>
    </row>
    <row r="1781" spans="1:38" x14ac:dyDescent="0.2">
      <c r="A1781" s="2">
        <v>2025</v>
      </c>
      <c r="B1781" s="2">
        <v>8</v>
      </c>
      <c r="C1781" s="2" t="s">
        <v>3475</v>
      </c>
      <c r="D1781" s="2" t="s">
        <v>1625</v>
      </c>
      <c r="E1781" s="2" t="s">
        <v>109</v>
      </c>
      <c r="F1781" s="2" t="s">
        <v>39</v>
      </c>
      <c r="L1781" s="2" t="s">
        <v>113</v>
      </c>
      <c r="M1781" s="2" t="s">
        <v>110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>(T1781-W1781)/T1781</f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>AJ1781</f>
        <v>0</v>
      </c>
      <c r="AG1781" s="2">
        <v>7.2217000000000002</v>
      </c>
      <c r="AH1781" s="2">
        <v>14.4</v>
      </c>
      <c r="AJ1781" s="2">
        <f>AI1781*T1781</f>
        <v>0</v>
      </c>
      <c r="AK1781" s="2">
        <f>T1781-W1781</f>
        <v>11.956599999999998</v>
      </c>
      <c r="AL1781" s="5">
        <f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>(T1782-W1782)/T1782</f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>AJ1782</f>
        <v>0</v>
      </c>
      <c r="AJ1782" s="2">
        <f>AI1782*T1782</f>
        <v>0</v>
      </c>
      <c r="AK1782" s="2">
        <f>T1782-W1782</f>
        <v>68.12</v>
      </c>
      <c r="AL1782" s="5">
        <f>(T1782-W1782)/T1782</f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>AJ1783</f>
        <v>0</v>
      </c>
      <c r="AJ1783" s="2">
        <f>AI1783*T1783</f>
        <v>0</v>
      </c>
      <c r="AK1783" s="2">
        <f>T1783-W1783</f>
        <v>7.0100000000000051</v>
      </c>
      <c r="AL1783" s="5">
        <f>(T1783-W1783)/T1783</f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>AJ1784</f>
        <v>0</v>
      </c>
      <c r="AJ1784" s="2">
        <f>AI1784*T1784</f>
        <v>0</v>
      </c>
      <c r="AK1784" s="2">
        <f>T1784-W1784</f>
        <v>9.86</v>
      </c>
      <c r="AL1784" s="5">
        <f>(T1784-W1784)/T1784</f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>AJ1785</f>
        <v>0</v>
      </c>
      <c r="AG1785" s="2">
        <v>0.85609999999999997</v>
      </c>
      <c r="AH1785" s="2">
        <v>1.8</v>
      </c>
      <c r="AJ1785" s="2">
        <f>AI1785*T1785</f>
        <v>0</v>
      </c>
      <c r="AK1785" s="2">
        <f>T1785-W1785</f>
        <v>18.878</v>
      </c>
      <c r="AL1785" s="5">
        <f>(T1785-W1785)/T1785</f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>AJ1786</f>
        <v>0</v>
      </c>
      <c r="AG1786" s="2">
        <v>15.020300000000001</v>
      </c>
      <c r="AH1786" s="2">
        <v>27.6</v>
      </c>
      <c r="AJ1786" s="2">
        <f>AI1786*T1786</f>
        <v>0</v>
      </c>
      <c r="AK1786" s="2">
        <f>T1786-W1786</f>
        <v>99.593999999999994</v>
      </c>
      <c r="AL1786" s="5">
        <f>(T1786-W1786)/T1786</f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>AJ1787</f>
        <v>0</v>
      </c>
      <c r="AG1787" s="2">
        <v>10.6</v>
      </c>
      <c r="AH1787" s="2">
        <v>18</v>
      </c>
      <c r="AJ1787" s="2">
        <f>AI1787*T1787</f>
        <v>0</v>
      </c>
      <c r="AK1787" s="2">
        <f>T1787-W1787</f>
        <v>34</v>
      </c>
      <c r="AL1787" s="5">
        <f>(T1787-W1787)/T1787</f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>AJ1788</f>
        <v>0</v>
      </c>
      <c r="AG1788" s="2">
        <v>6.6266999999999996</v>
      </c>
      <c r="AH1788" s="2">
        <v>12</v>
      </c>
      <c r="AJ1788" s="2">
        <f>AI1788*T1788</f>
        <v>0</v>
      </c>
      <c r="AK1788" s="2">
        <f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>AJ1789</f>
        <v>0</v>
      </c>
      <c r="AG1789" s="2">
        <v>10.2346</v>
      </c>
      <c r="AH1789" s="2">
        <v>18</v>
      </c>
      <c r="AJ1789" s="2">
        <f>AI1789*T1789</f>
        <v>0</v>
      </c>
      <c r="AK1789" s="2">
        <f>T1789-W1789</f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>AJ1790</f>
        <v>0</v>
      </c>
      <c r="AG1790" s="2">
        <v>3.7357999999999998</v>
      </c>
      <c r="AH1790" s="2">
        <v>9</v>
      </c>
      <c r="AJ1790" s="2">
        <f>AI1790*T1790</f>
        <v>0</v>
      </c>
      <c r="AK1790" s="2">
        <f>T1790-W1790</f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>AJ1791</f>
        <v>0</v>
      </c>
      <c r="AG1791" s="2">
        <v>5.2972999999999999</v>
      </c>
      <c r="AH1791" s="2">
        <v>10.8</v>
      </c>
      <c r="AJ1791" s="2">
        <f>AI1791*T1791</f>
        <v>0</v>
      </c>
      <c r="AK1791" s="2">
        <f>T1791-W1791</f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>AJ1792</f>
        <v>0</v>
      </c>
      <c r="AJ1792" s="2">
        <f>AI1792*T1792</f>
        <v>0</v>
      </c>
      <c r="AK1792" s="2">
        <f>T1792-W1792</f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>AJ1793</f>
        <v>0</v>
      </c>
      <c r="AJ1793" s="2">
        <f>AI1793*T1793</f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>AJ1794</f>
        <v>0</v>
      </c>
      <c r="AG1794" s="2">
        <v>157.85</v>
      </c>
      <c r="AJ1794" s="2">
        <f>AI1794*T1794</f>
        <v>0</v>
      </c>
      <c r="AK1794" s="2">
        <f>T1794-W1794</f>
        <v>102.15</v>
      </c>
      <c r="AL1794" s="5">
        <f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>(T1795-W1795)/T1795</f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>AJ1795</f>
        <v>0</v>
      </c>
      <c r="AJ1795" s="2">
        <f>AI1795*T1795</f>
        <v>0</v>
      </c>
      <c r="AK1795" s="2">
        <f>T1795-W1795</f>
        <v>0</v>
      </c>
      <c r="AL1795" s="5">
        <f>(T1795-W1795)/T1795</f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>(T1796-W1796)/T1796</f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>AJ1796</f>
        <v>0</v>
      </c>
      <c r="AJ1796" s="2">
        <f>AI1796*T1796</f>
        <v>0</v>
      </c>
      <c r="AK1796" s="2">
        <f>T1796-W1796</f>
        <v>100</v>
      </c>
      <c r="AL1796" s="5">
        <f>(T1796-W1796)/T1796</f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>(T1797-W1797)/T1797</f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>AJ1797</f>
        <v>0</v>
      </c>
      <c r="AG1797" s="2">
        <v>111.98</v>
      </c>
      <c r="AH1797" s="2">
        <v>210</v>
      </c>
      <c r="AJ1797" s="2">
        <f>AI1797*T1797</f>
        <v>0</v>
      </c>
      <c r="AK1797" s="2">
        <f>T1797-W1797</f>
        <v>93.02</v>
      </c>
      <c r="AL1797" s="5">
        <f>(T1797-W1797)/T1797</f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>(T1798-W1798)/T1798</f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>AJ1798</f>
        <v>0</v>
      </c>
      <c r="AJ1798" s="2">
        <f>AI1798*T1798</f>
        <v>0</v>
      </c>
      <c r="AK1798" s="2">
        <f>T1798-W1798</f>
        <v>0</v>
      </c>
      <c r="AL1798" s="5">
        <f>(T1798-W1798)/T1798</f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>(T1799-W1799)/T1799</f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>AJ1799</f>
        <v>0</v>
      </c>
      <c r="AG1799" s="2">
        <v>9.3000000000000007</v>
      </c>
      <c r="AH1799" s="2">
        <v>21</v>
      </c>
      <c r="AJ1799" s="2">
        <f>AI1799*T1799</f>
        <v>0</v>
      </c>
      <c r="AK1799" s="2">
        <f>T1799-W1799</f>
        <v>9.3000000000000007</v>
      </c>
      <c r="AL1799" s="5">
        <f>(T1799-W1799)/T1799</f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M1800" s="2" t="s">
        <v>41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>(T1800-W1800)/T1800</f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>AJ1800</f>
        <v>0</v>
      </c>
      <c r="AG1800" s="2">
        <v>10.6</v>
      </c>
      <c r="AH1800" s="2">
        <v>18</v>
      </c>
      <c r="AJ1800" s="2">
        <f>AI1800*T1800</f>
        <v>0</v>
      </c>
      <c r="AK1800" s="2">
        <f>T1800-W1800</f>
        <v>34</v>
      </c>
      <c r="AL1800" s="5">
        <f>(T1800-W1800)/T1800</f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M1801" s="2" t="s">
        <v>41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>(T1801-W1801)/T1801</f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>AJ1801</f>
        <v>0</v>
      </c>
      <c r="AG1801" s="2">
        <v>9.14</v>
      </c>
      <c r="AH1801" s="2">
        <v>16</v>
      </c>
      <c r="AJ1801" s="2">
        <f>AI1801*T1801</f>
        <v>0</v>
      </c>
      <c r="AK1801" s="2">
        <f>T1801-W1801</f>
        <v>11.580000000000002</v>
      </c>
      <c r="AL1801" s="5">
        <f>(T1801-W1801)/T1801</f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M1802" s="2" t="s">
        <v>41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>(T1802-W1802)/T1802</f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>AJ1802</f>
        <v>0</v>
      </c>
      <c r="AG1802" s="2">
        <v>8.1999999999999993</v>
      </c>
      <c r="AH1802" s="2">
        <v>13</v>
      </c>
      <c r="AJ1802" s="2">
        <f>AI1802*T1802</f>
        <v>0</v>
      </c>
      <c r="AK1802" s="2">
        <f>T1802-W1802</f>
        <v>11.399999999999999</v>
      </c>
      <c r="AL1802" s="5">
        <f>(T1802-W1802)/T1802</f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>AJ1803</f>
        <v>0</v>
      </c>
      <c r="AJ1803" s="2">
        <f>AI1803*T1803</f>
        <v>0</v>
      </c>
      <c r="AK1803" s="2">
        <f>T1803-W1803</f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>AJ1804</f>
        <v>0</v>
      </c>
      <c r="AJ1804" s="2">
        <f>AI1804*T1804</f>
        <v>0</v>
      </c>
      <c r="AK1804" s="2">
        <f>T1804-W1804</f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>AJ1805</f>
        <v>0</v>
      </c>
      <c r="AG1805" s="2">
        <v>3.7357999999999998</v>
      </c>
      <c r="AH1805" s="2">
        <v>9</v>
      </c>
      <c r="AJ1805" s="2">
        <f>AI1805*T1805</f>
        <v>0</v>
      </c>
      <c r="AK1805" s="2">
        <f>T1805-W1805</f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>AJ1806</f>
        <v>0</v>
      </c>
      <c r="AJ1806" s="2">
        <f>AI1806*T1806</f>
        <v>0</v>
      </c>
      <c r="AK1806" s="2">
        <f>T1806-W1806</f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>AJ1807</f>
        <v>0</v>
      </c>
      <c r="AJ1807" s="2">
        <f>AI1807*T1807</f>
        <v>0</v>
      </c>
      <c r="AK1807" s="2">
        <f>T1807-W1807</f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>AJ1808</f>
        <v>0</v>
      </c>
      <c r="AJ1808" s="2">
        <f>AI1808*T1808</f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>(T1809-W1809)/T1809</f>
        <v>1</v>
      </c>
      <c r="AF1809" s="2">
        <f>AJ1809</f>
        <v>0</v>
      </c>
      <c r="AJ1809" s="2">
        <f>AI1809*T1809</f>
        <v>0</v>
      </c>
      <c r="AK1809" s="2">
        <f>T1809-W1809</f>
        <v>14.29</v>
      </c>
      <c r="AL1809" s="5">
        <f>(T1809-W1809)/T1809</f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>(T1810-W1810)/T1810</f>
        <v>1</v>
      </c>
      <c r="Z1810" s="2" t="s">
        <v>170</v>
      </c>
      <c r="AA1810" s="2" t="s">
        <v>170</v>
      </c>
      <c r="AF1810" s="2">
        <f>AJ1810</f>
        <v>0</v>
      </c>
      <c r="AJ1810" s="2">
        <f>AI1810*T1810</f>
        <v>0</v>
      </c>
      <c r="AK1810" s="2">
        <f>T1810-W1810</f>
        <v>8</v>
      </c>
      <c r="AL1810" s="5">
        <f>(T1810-W1810)/T1810</f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>(T1811-W1811)/T1811</f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>AJ1811</f>
        <v>0</v>
      </c>
      <c r="AG1811" s="2">
        <v>10.6</v>
      </c>
      <c r="AH1811" s="2">
        <v>18</v>
      </c>
      <c r="AJ1811" s="2">
        <f>AI1811*T1811</f>
        <v>0</v>
      </c>
      <c r="AK1811" s="2">
        <f>T1811-W1811</f>
        <v>12.200000000000001</v>
      </c>
      <c r="AL1811" s="5">
        <f>(T1811-W1811)/T1811</f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>(T1812-W1812)/T1812</f>
        <v>1</v>
      </c>
      <c r="Z1812" s="2" t="s">
        <v>3231</v>
      </c>
      <c r="AF1812" s="2">
        <f>AJ1812</f>
        <v>0</v>
      </c>
      <c r="AJ1812" s="2">
        <f>AI1812*T1812</f>
        <v>0</v>
      </c>
      <c r="AK1812" s="2">
        <f>T1812-W1812</f>
        <v>698</v>
      </c>
      <c r="AL1812" s="5">
        <f>(T1812-W1812)/T1812</f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>(T1813-W1813)/T1813</f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>AJ1813</f>
        <v>0</v>
      </c>
      <c r="AG1813" s="2">
        <v>10.6</v>
      </c>
      <c r="AH1813" s="2">
        <v>18</v>
      </c>
      <c r="AJ1813" s="2">
        <f>AI1813*T1813</f>
        <v>0</v>
      </c>
      <c r="AK1813" s="2">
        <f>T1813-W1813</f>
        <v>16.200000000000003</v>
      </c>
      <c r="AL1813" s="5">
        <f>(T1813-W1813)/T1813</f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>(T1814-W1814)/T1814</f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>AJ1814</f>
        <v>0</v>
      </c>
      <c r="AG1814" s="2">
        <v>8.1999999999999993</v>
      </c>
      <c r="AH1814" s="2">
        <v>13</v>
      </c>
      <c r="AJ1814" s="2">
        <f>AI1814*T1814</f>
        <v>0</v>
      </c>
      <c r="AK1814" s="2">
        <f>T1814-W1814</f>
        <v>7.5999999999999979</v>
      </c>
      <c r="AL1814" s="5">
        <f>(T1814-W1814)/T1814</f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>(T1815-W1815)/T1815</f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>AJ1815</f>
        <v>0</v>
      </c>
      <c r="AJ1815" s="2">
        <f>AI1815*T1815</f>
        <v>0</v>
      </c>
      <c r="AK1815" s="2">
        <f>T1815-W1815</f>
        <v>4.8600000000000012</v>
      </c>
      <c r="AL1815" s="5">
        <f>(T1815-W1815)/T1815</f>
        <v>0.34714285714285725</v>
      </c>
    </row>
    <row r="1816" spans="1:38" x14ac:dyDescent="0.2">
      <c r="A1816" s="2">
        <v>2025</v>
      </c>
      <c r="B1816" s="2">
        <v>10</v>
      </c>
      <c r="C1816" s="2" t="s">
        <v>3415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>(T1816-W1816)/T1816</f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>AJ1816</f>
        <v>0</v>
      </c>
      <c r="AJ1816" s="2">
        <f>AI1816*T1816</f>
        <v>0</v>
      </c>
      <c r="AK1816" s="2">
        <f>T1816-W1816</f>
        <v>25.200000000000003</v>
      </c>
      <c r="AL1816" s="5">
        <f>(T1816-W1816)/T1816</f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>(T1817-W1817)/T1817</f>
        <v>1</v>
      </c>
      <c r="Z1817" s="2" t="s">
        <v>3231</v>
      </c>
      <c r="AF1817" s="2">
        <f>AJ1817</f>
        <v>0</v>
      </c>
      <c r="AJ1817" s="2">
        <f>AI1817*T1817</f>
        <v>0</v>
      </c>
      <c r="AK1817" s="2">
        <f>T1817-W1817</f>
        <v>36.9</v>
      </c>
      <c r="AL1817" s="5">
        <f>(T1817-W1817)/T1817</f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>(T1818-W1818)/T1818</f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>AJ1818</f>
        <v>0</v>
      </c>
      <c r="AJ1818" s="2">
        <f>AI1818*T1818</f>
        <v>0</v>
      </c>
      <c r="AK1818" s="2">
        <f>T1818-W1818</f>
        <v>1.8650000000000002</v>
      </c>
      <c r="AL1818" s="5">
        <f>(T1818-W1818)/T1818</f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>(T1819-W1819)/T1819</f>
        <v>1</v>
      </c>
      <c r="Z1819" s="2" t="s">
        <v>3231</v>
      </c>
      <c r="AF1819" s="2">
        <f>AJ1819</f>
        <v>0</v>
      </c>
      <c r="AJ1819" s="2">
        <f>AI1819*T1819</f>
        <v>0</v>
      </c>
      <c r="AK1819" s="2">
        <f>T1819-W1819</f>
        <v>10.9</v>
      </c>
      <c r="AL1819" s="5">
        <f>(T1819-W1819)/T1819</f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>(T1820-W1820)/T1820</f>
        <v>1</v>
      </c>
      <c r="Z1820" s="2" t="s">
        <v>3231</v>
      </c>
      <c r="AF1820" s="2">
        <f>AJ1820</f>
        <v>0</v>
      </c>
      <c r="AJ1820" s="2">
        <f>AI1820*T1820</f>
        <v>0</v>
      </c>
      <c r="AK1820" s="2">
        <f>T1820-W1820</f>
        <v>56.91</v>
      </c>
      <c r="AL1820" s="5">
        <f>(T1820-W1820)/T1820</f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>(T1821-W1821)/T1821</f>
        <v>1</v>
      </c>
      <c r="Z1821" s="2" t="s">
        <v>3231</v>
      </c>
      <c r="AF1821" s="2">
        <f>AJ1821</f>
        <v>0</v>
      </c>
      <c r="AJ1821" s="2">
        <f>AI1821*T1821</f>
        <v>0</v>
      </c>
      <c r="AK1821" s="2">
        <f>T1821-W1821</f>
        <v>80</v>
      </c>
      <c r="AL1821" s="5">
        <f>(T1821-W1821)/T1821</f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>(T1822-W1822)/T1822</f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>AJ1822</f>
        <v>0</v>
      </c>
      <c r="AG1822" s="2">
        <v>10.6</v>
      </c>
      <c r="AH1822" s="2">
        <v>18</v>
      </c>
      <c r="AJ1822" s="2">
        <f>AI1822*T1822</f>
        <v>0</v>
      </c>
      <c r="AK1822" s="2">
        <f>T1822-W1822</f>
        <v>22.200000000000003</v>
      </c>
      <c r="AL1822" s="5">
        <f>(T1822-W1822)/T1822</f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>(T1823-W1823)/T1823</f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>AJ1823</f>
        <v>0</v>
      </c>
      <c r="AG1823" s="2">
        <v>29.27</v>
      </c>
      <c r="AH1823" s="2">
        <v>60</v>
      </c>
      <c r="AJ1823" s="2">
        <f>AI1823*T1823</f>
        <v>0</v>
      </c>
      <c r="AK1823" s="2">
        <f>T1823-W1823</f>
        <v>40.730000000000004</v>
      </c>
      <c r="AL1823" s="5">
        <f>(T1823-W1823)/T1823</f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>(T1824-W1824)/T1824</f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>AJ1824</f>
        <v>0</v>
      </c>
      <c r="AG1824" s="2">
        <v>0.85609999999999997</v>
      </c>
      <c r="AH1824" s="2">
        <v>1.8</v>
      </c>
      <c r="AJ1824" s="2">
        <f>AI1824*T1824</f>
        <v>0</v>
      </c>
      <c r="AK1824" s="2">
        <f>T1824-W1824</f>
        <v>18.878</v>
      </c>
      <c r="AL1824" s="5">
        <f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>(T1825-W1825)/T1825</f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>AJ1825</f>
        <v>0</v>
      </c>
      <c r="AG1825" s="2">
        <v>7.9611999999999998</v>
      </c>
      <c r="AH1825" s="2">
        <v>14.4</v>
      </c>
      <c r="AJ1825" s="2">
        <f>AI1825*T1825</f>
        <v>0</v>
      </c>
      <c r="AK1825" s="2">
        <f>T1825-W1825</f>
        <v>7.0388000000000002</v>
      </c>
      <c r="AL1825" s="5">
        <f>(T1825-W1825)/T1825</f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>(T1826-W1826)/T1826</f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>AJ1826</f>
        <v>0</v>
      </c>
      <c r="AG1826" s="2">
        <v>8.3145000000000007</v>
      </c>
      <c r="AH1826" s="2">
        <v>15</v>
      </c>
      <c r="AJ1826" s="2">
        <f>AI1826*T1826</f>
        <v>0</v>
      </c>
      <c r="AK1826" s="2">
        <f>T1826-W1826</f>
        <v>7.3709999999999987</v>
      </c>
      <c r="AL1826" s="5">
        <f>(T1826-W1826)/T1826</f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>(T1827-W1827)/T1827</f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>AJ1827</f>
        <v>0</v>
      </c>
      <c r="AJ1827" s="2">
        <f>AI1827*T1827</f>
        <v>0</v>
      </c>
      <c r="AK1827" s="2">
        <f>T1827-W1827</f>
        <v>133.01999999999998</v>
      </c>
      <c r="AL1827" s="5">
        <f>(T1827-W1827)/T1827</f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>(T1828-W1828)/T1828</f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>AJ1828</f>
        <v>0</v>
      </c>
      <c r="AJ1828" s="2">
        <f>AI1828*T1828</f>
        <v>0</v>
      </c>
      <c r="AK1828" s="2">
        <f>T1828-W1828</f>
        <v>173.10000000000002</v>
      </c>
      <c r="AL1828" s="5">
        <f>(T1828-W1828)/T1828</f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>(T1829-W1829)/T1829</f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>AJ1829</f>
        <v>0</v>
      </c>
      <c r="AJ1829" s="2">
        <f>AI1829*T1829</f>
        <v>0</v>
      </c>
      <c r="AK1829" s="2">
        <f>T1829-W1829</f>
        <v>228.01999999999992</v>
      </c>
      <c r="AL1829" s="5">
        <f>(T1829-W1829)/T1829</f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>(T1830-W1830)/T1830</f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>AJ1830</f>
        <v>0</v>
      </c>
      <c r="AJ1830" s="2">
        <f>AI1830*T1830</f>
        <v>0</v>
      </c>
      <c r="AK1830" s="2">
        <f>T1830-W1830</f>
        <v>0</v>
      </c>
      <c r="AL1830" s="5">
        <f>(T1830-W1830)/T1830</f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>(T1831-W1831)/T1831</f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>AJ1831</f>
        <v>0</v>
      </c>
      <c r="AG1831" s="2">
        <v>7.915</v>
      </c>
      <c r="AJ1831" s="2">
        <f>AI1831*T1831</f>
        <v>0</v>
      </c>
      <c r="AK1831" s="2">
        <f>T1831-W1831</f>
        <v>5.8850000000000007</v>
      </c>
      <c r="AL1831" s="5">
        <f>(T1831-W1831)/T1831</f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>(T1832-W1832)/T1832</f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>AJ1832</f>
        <v>0</v>
      </c>
      <c r="AG1832" s="2">
        <v>10.035</v>
      </c>
      <c r="AJ1832" s="2">
        <f>AI1832*T1832</f>
        <v>0</v>
      </c>
      <c r="AK1832" s="2">
        <f>T1832-W1832</f>
        <v>7.3649999999999984</v>
      </c>
      <c r="AL1832" s="5">
        <f>(T1832-W1832)/T1832</f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>(T1833-W1833)/T1833</f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>AJ1833</f>
        <v>0</v>
      </c>
      <c r="AG1833" s="2">
        <v>12.4434</v>
      </c>
      <c r="AJ1833" s="2">
        <f>AI1833*T1833</f>
        <v>0</v>
      </c>
      <c r="AK1833" s="2">
        <f>T1833-W1833</f>
        <v>8.5565999999999995</v>
      </c>
      <c r="AL1833" s="5">
        <f>(T1833-W1833)/T1833</f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>(T1834-W1834)/T1834</f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>AJ1834</f>
        <v>0</v>
      </c>
      <c r="AG1834" s="2">
        <v>11.087999999999999</v>
      </c>
      <c r="AJ1834" s="2">
        <f>AI1834*T1834</f>
        <v>0</v>
      </c>
      <c r="AK1834" s="2">
        <f>T1834-W1834</f>
        <v>8.7120000000000015</v>
      </c>
      <c r="AL1834" s="5">
        <f>(T1834-W1834)/T1834</f>
        <v>0.44000000000000006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>(T1835-W1835)/T1835</f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>AJ1835</f>
        <v>0</v>
      </c>
      <c r="AG1835" s="2">
        <v>15.020300000000001</v>
      </c>
      <c r="AH1835" s="2">
        <v>27.6</v>
      </c>
      <c r="AJ1835" s="2">
        <f>AI1835*T1835</f>
        <v>0</v>
      </c>
      <c r="AK1835" s="2">
        <f>T1835-W1835</f>
        <v>23.918799999999997</v>
      </c>
      <c r="AL1835" s="5">
        <f>(T1835-W1835)/T1835</f>
        <v>0.28474761904761903</v>
      </c>
    </row>
    <row r="1836" spans="1:38" x14ac:dyDescent="0.2">
      <c r="A1836" s="2">
        <v>2025</v>
      </c>
      <c r="B1836" s="2">
        <v>10</v>
      </c>
      <c r="C1836" s="2" t="s">
        <v>3417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>(T1836-W1836)/T1836</f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>AJ1836</f>
        <v>0</v>
      </c>
      <c r="AJ1836" s="2">
        <f>AI1836*T1836</f>
        <v>0</v>
      </c>
      <c r="AK1836" s="2">
        <f>T1836-W1836</f>
        <v>3330.6000000000004</v>
      </c>
      <c r="AL1836" s="5">
        <f>(T1836-W1836)/T1836</f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>(T1837-W1837)/T1837</f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>AJ1837</f>
        <v>0</v>
      </c>
      <c r="AG1837" s="2">
        <v>113.33</v>
      </c>
      <c r="AH1837" s="2">
        <v>220</v>
      </c>
      <c r="AJ1837" s="2">
        <f>AI1837*T1837</f>
        <v>0</v>
      </c>
      <c r="AK1837" s="2">
        <f>T1837-W1837</f>
        <v>96.67</v>
      </c>
      <c r="AL1837" s="5">
        <f>(T1837-W1837)/T1837</f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>(T1838-W1838)/T1838</f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>AJ1838</f>
        <v>0</v>
      </c>
      <c r="AJ1838" s="2">
        <f>AI1838*T1838</f>
        <v>0</v>
      </c>
      <c r="AK1838" s="2">
        <f>T1838-W1838</f>
        <v>0</v>
      </c>
      <c r="AL1838" s="5">
        <f>(T1838-W1838)/T1838</f>
        <v>0</v>
      </c>
    </row>
    <row r="1839" spans="1:38" x14ac:dyDescent="0.2">
      <c r="A1839" s="2">
        <v>2025</v>
      </c>
      <c r="B1839" s="2">
        <v>10</v>
      </c>
      <c r="C1839" s="2" t="s">
        <v>3415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>(T1839-W1839)/T1839</f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>AJ1839</f>
        <v>0</v>
      </c>
      <c r="AJ1839" s="2">
        <f>AI1839*T1839</f>
        <v>0</v>
      </c>
      <c r="AK1839" s="2">
        <f>T1839-W1839</f>
        <v>298</v>
      </c>
      <c r="AL1839" s="5">
        <f>(T1839-W1839)/T1839</f>
        <v>0.50084033613445378</v>
      </c>
    </row>
    <row r="1840" spans="1:38" x14ac:dyDescent="0.2">
      <c r="A1840" s="2">
        <v>2025</v>
      </c>
      <c r="B1840" s="2">
        <v>10</v>
      </c>
      <c r="C1840" s="2" t="s">
        <v>3415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>AJ1840</f>
        <v>0</v>
      </c>
      <c r="AJ1840" s="2">
        <f>AI1840*T1840</f>
        <v>0</v>
      </c>
      <c r="AK1840" s="2">
        <f>T1840-W1840</f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3415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>AJ1841</f>
        <v>0</v>
      </c>
      <c r="AJ1841" s="2">
        <f>AI1841*T1841</f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3415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v>110.23139999999999</v>
      </c>
      <c r="X1842" s="18">
        <f>SIGN(T1842)*((ABS(T1842)-W1842)/ABS(T1842))</f>
        <v>-0.36648620689655176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>AJ1842</f>
        <v>0</v>
      </c>
      <c r="AJ1842" s="2">
        <f>AI1842*T1842</f>
        <v>0</v>
      </c>
      <c r="AK1842" s="2">
        <f>T1842+(W1842)</f>
        <v>-63.768600000000006</v>
      </c>
      <c r="AL1842" s="18">
        <f>SIGN(T1842)*((ABS(T1842)-W1842)/ABS(T1842))</f>
        <v>-0.36648620689655176</v>
      </c>
    </row>
    <row r="1843" spans="1:38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>AJ1843</f>
        <v>0</v>
      </c>
      <c r="AG1843" s="2">
        <v>3.7357999999999998</v>
      </c>
      <c r="AH1843" s="2">
        <v>9</v>
      </c>
      <c r="AJ1843" s="2">
        <f>AI1843*T1843</f>
        <v>0</v>
      </c>
      <c r="AK1843" s="2">
        <f>T1843-W1843</f>
        <v>4.0641999999999996</v>
      </c>
      <c r="AL1843" s="5">
        <f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>(T1844-W1844)/T1844</f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>AJ1844</f>
        <v>0</v>
      </c>
      <c r="AG1844" s="2">
        <v>7.2217000000000002</v>
      </c>
      <c r="AH1844" s="2">
        <v>14.4</v>
      </c>
      <c r="AJ1844" s="2">
        <f>AI1844*T1844</f>
        <v>0</v>
      </c>
      <c r="AK1844" s="2">
        <f>T1844-W1844</f>
        <v>5.9782999999999991</v>
      </c>
      <c r="AL1844" s="5">
        <f>(T1844-W1844)/T1844</f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>(T1845-W1845)/T1845</f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>AJ1845</f>
        <v>0</v>
      </c>
      <c r="AG1845" s="2">
        <v>10.6</v>
      </c>
      <c r="AH1845" s="2">
        <v>18</v>
      </c>
      <c r="AJ1845" s="2">
        <f>AI1845*T1845</f>
        <v>0</v>
      </c>
      <c r="AK1845" s="2">
        <f>T1845-W1845</f>
        <v>7.4</v>
      </c>
      <c r="AL1845" s="5">
        <f>(T1845-W1845)/T1845</f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>(T1846-W1846)/T1846</f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>AJ1846</f>
        <v>0</v>
      </c>
      <c r="AG1846" s="2">
        <v>8.1999999999999993</v>
      </c>
      <c r="AH1846" s="2">
        <v>13</v>
      </c>
      <c r="AJ1846" s="2">
        <f>AI1846*T1846</f>
        <v>0</v>
      </c>
      <c r="AK1846" s="2">
        <f>T1846-W1846</f>
        <v>4.7999999999999989</v>
      </c>
      <c r="AL1846" s="5">
        <f>(T1846-W1846)/T1846</f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>(T1847-W1847)/T1847</f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>AJ1847</f>
        <v>0</v>
      </c>
      <c r="AJ1847" s="2">
        <f>AI1847*T1847</f>
        <v>0</v>
      </c>
      <c r="AK1847" s="2">
        <f>T1847-W1847</f>
        <v>352.72999999999996</v>
      </c>
      <c r="AL1847" s="5">
        <f>(T1847-W1847)/T1847</f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>(T1848-W1848)/T1848</f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>AJ1848</f>
        <v>0</v>
      </c>
      <c r="AJ1848" s="2">
        <f>AI1848*T1848</f>
        <v>0</v>
      </c>
      <c r="AK1848" s="2">
        <f>T1848-W1848</f>
        <v>64.199999999999989</v>
      </c>
      <c r="AL1848" s="5">
        <f>(T1848-W1848)/T1848</f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>AJ1849</f>
        <v>0</v>
      </c>
      <c r="AJ1849" s="2">
        <f>AI1849*T1849</f>
        <v>0</v>
      </c>
      <c r="AK1849" s="2">
        <f>T1849-W1849</f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>(T1850-W1850)/T1850</f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>AJ1850</f>
        <v>0</v>
      </c>
      <c r="AJ1850" s="2">
        <f>AI1850*T1850</f>
        <v>0</v>
      </c>
      <c r="AK1850" s="2">
        <f>T1850-W1850</f>
        <v>16.600000000000001</v>
      </c>
      <c r="AL1850" s="5">
        <f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>(T1851-W1851)/T1851</f>
        <v>1</v>
      </c>
      <c r="Z1851" s="2" t="s">
        <v>170</v>
      </c>
      <c r="AA1851" s="2" t="s">
        <v>170</v>
      </c>
      <c r="AF1851" s="2">
        <f>AJ1851</f>
        <v>0</v>
      </c>
      <c r="AJ1851" s="2">
        <f>AI1851*T1851</f>
        <v>0</v>
      </c>
      <c r="AK1851" s="2">
        <f>T1851-W1851</f>
        <v>8</v>
      </c>
      <c r="AL1851" s="5">
        <f>(T1851-W1851)/T1851</f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>(T1852-W1852)/T1852</f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>AJ1852</f>
        <v>0</v>
      </c>
      <c r="AG1852" s="2">
        <v>40.357500000000002</v>
      </c>
      <c r="AJ1852" s="2">
        <f>AI1852*T1852</f>
        <v>0</v>
      </c>
      <c r="AK1852" s="2">
        <f>T1852-W1852</f>
        <v>31.462499999999991</v>
      </c>
      <c r="AL1852" s="5">
        <f>(T1852-W1852)/T1852</f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>(T1853-W1853)/T1853</f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>AJ1853</f>
        <v>0</v>
      </c>
      <c r="AG1853" s="2">
        <v>14.4</v>
      </c>
      <c r="AJ1853" s="2">
        <f>AI1853*T1853</f>
        <v>0</v>
      </c>
      <c r="AK1853" s="2">
        <f>T1853-W1853</f>
        <v>6.4799999999999986</v>
      </c>
      <c r="AL1853" s="5">
        <f>(T1853-W1853)/T1853</f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>(T1854-W1854)/T1854</f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>AJ1854</f>
        <v>0</v>
      </c>
      <c r="AG1854" s="2">
        <v>22.2</v>
      </c>
      <c r="AJ1854" s="2">
        <f>AI1854*T1854</f>
        <v>0</v>
      </c>
      <c r="AK1854" s="2">
        <f>T1854-W1854</f>
        <v>18.917999999999999</v>
      </c>
      <c r="AL1854" s="5">
        <f>(T1854-W1854)/T1854</f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>(T1855-W1855)/T1855</f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>AJ1855</f>
        <v>0</v>
      </c>
      <c r="AG1855" s="2">
        <v>11.246700000000001</v>
      </c>
      <c r="AJ1855" s="2">
        <f>AI1855*T1855</f>
        <v>0</v>
      </c>
      <c r="AK1855" s="2">
        <f>T1855-W1855</f>
        <v>22.5</v>
      </c>
      <c r="AL1855" s="5">
        <f>(T1855-W1855)/T1855</f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>(T1856-W1856)/T1856</f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>AJ1856</f>
        <v>0</v>
      </c>
      <c r="AG1856" s="2">
        <v>117.453</v>
      </c>
      <c r="AH1856" s="2">
        <v>220</v>
      </c>
      <c r="AJ1856" s="2">
        <f>AI1856*T1856</f>
        <v>0</v>
      </c>
      <c r="AK1856" s="2">
        <f>T1856-W1856</f>
        <v>102.547</v>
      </c>
      <c r="AL1856" s="5">
        <f>(T1856-W1856)/T1856</f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>(T1857-W1857)/T1857</f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>AJ1857</f>
        <v>0</v>
      </c>
      <c r="AJ1857" s="2">
        <f>AI1857*T1857</f>
        <v>0</v>
      </c>
      <c r="AK1857" s="2">
        <f>T1857-W1857</f>
        <v>0</v>
      </c>
      <c r="AL1857" s="5">
        <f>(T1857-W1857)/T1857</f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>(T1858-W1858)/T1858</f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>AJ1858</f>
        <v>0</v>
      </c>
      <c r="AG1858" s="2">
        <v>7.9611999999999998</v>
      </c>
      <c r="AH1858" s="2">
        <v>14.4</v>
      </c>
      <c r="AJ1858" s="2">
        <f>AI1858*T1858</f>
        <v>0</v>
      </c>
      <c r="AK1858" s="2">
        <f>T1858-W1858</f>
        <v>7.0388000000000002</v>
      </c>
      <c r="AL1858" s="5">
        <f>(T1858-W1858)/T1858</f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>(T1859-W1859)/T1859</f>
        <v>1</v>
      </c>
      <c r="Z1859" s="2" t="s">
        <v>170</v>
      </c>
      <c r="AA1859" s="2" t="s">
        <v>170</v>
      </c>
      <c r="AF1859" s="2">
        <f>AJ1859</f>
        <v>0</v>
      </c>
      <c r="AJ1859" s="2">
        <f>AI1859*T1859</f>
        <v>0</v>
      </c>
      <c r="AK1859" s="2">
        <f>T1859-W1859</f>
        <v>8</v>
      </c>
      <c r="AL1859" s="5">
        <f>(T1859-W1859)/T1859</f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>(T1860-W1860)/T1860</f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>AJ1860</f>
        <v>0</v>
      </c>
      <c r="AG1860" s="2">
        <v>1.1122000000000001</v>
      </c>
      <c r="AH1860" s="2">
        <v>3</v>
      </c>
      <c r="AJ1860" s="2">
        <f>AI1860*T1860</f>
        <v>0</v>
      </c>
      <c r="AK1860" s="2">
        <f>T1860-W1860</f>
        <v>37.756</v>
      </c>
      <c r="AL1860" s="5">
        <f>(T1860-W1860)/T1860</f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>(T1861-W1861)/T1861</f>
        <v>1</v>
      </c>
      <c r="Z1861" s="2" t="s">
        <v>120</v>
      </c>
      <c r="AA1861" s="2" t="s">
        <v>3384</v>
      </c>
      <c r="AF1861" s="2">
        <f>AJ1861</f>
        <v>0</v>
      </c>
      <c r="AJ1861" s="2">
        <f>AI1861*T1861</f>
        <v>0</v>
      </c>
      <c r="AK1861" s="2">
        <f>T1861-W1861</f>
        <v>8000</v>
      </c>
      <c r="AL1861" s="5">
        <f>(T1861-W1861)/T1861</f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>AJ1862</f>
        <v>0</v>
      </c>
      <c r="AJ1862" s="2">
        <f>AI1862*T1862</f>
        <v>0</v>
      </c>
      <c r="AK1862" s="2">
        <f>T1862-W1862</f>
        <v>-6680</v>
      </c>
      <c r="AL1862" s="5">
        <f>(T1862-W1862)/T1862</f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>AJ1863</f>
        <v>0</v>
      </c>
      <c r="AJ1863" s="2">
        <f>AI1863*T1863</f>
        <v>0</v>
      </c>
      <c r="AK1863" s="2">
        <f>T1863-W1863</f>
        <v>0</v>
      </c>
      <c r="AL1863" s="5" t="e">
        <f>(T1863-W1863)/T1863</f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>(T1864-W1864)/T1864</f>
        <v>1</v>
      </c>
      <c r="AF1864" s="2">
        <f>AJ1864</f>
        <v>0</v>
      </c>
      <c r="AJ1864" s="2">
        <f>AI1864*T1864</f>
        <v>0</v>
      </c>
      <c r="AK1864" s="2">
        <f>T1864-W1864</f>
        <v>1495.7</v>
      </c>
      <c r="AL1864" s="5">
        <f>(T1864-W1864)/T1864</f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>(T1865-W1865)/T1865</f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>AJ1865</f>
        <v>0</v>
      </c>
      <c r="AJ1865" s="2">
        <f>AI1865*T1865</f>
        <v>0</v>
      </c>
      <c r="AK1865" s="2">
        <f>T1865-W1865</f>
        <v>94.8</v>
      </c>
      <c r="AL1865" s="5">
        <f>(T1865-W1865)/T1865</f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>(T1866-W1866)/T1866</f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>AJ1866</f>
        <v>0</v>
      </c>
      <c r="AJ1866" s="2">
        <f>AI1866*T1866</f>
        <v>0</v>
      </c>
      <c r="AK1866" s="2">
        <f>T1866-W1866</f>
        <v>100</v>
      </c>
      <c r="AL1866" s="5">
        <f>(T1866-W1866)/T1866</f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>(T1867-W1867)/T1867</f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>AJ1867</f>
        <v>0</v>
      </c>
      <c r="AJ1867" s="2">
        <f>AI1867*T1867</f>
        <v>0</v>
      </c>
      <c r="AK1867" s="2">
        <f>T1867-W1867</f>
        <v>698.32</v>
      </c>
      <c r="AL1867" s="5">
        <f>(T1867-W1867)/T1867</f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>(T1868-W1868)/T1868</f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>AJ1868</f>
        <v>0</v>
      </c>
      <c r="AJ1868" s="2">
        <f>AI1868*T1868</f>
        <v>0</v>
      </c>
      <c r="AK1868" s="2">
        <f>T1868-W1868</f>
        <v>167.30579999999998</v>
      </c>
      <c r="AL1868" s="5">
        <f>(T1868-W1868)/T1868</f>
        <v>0.33595542168674691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>(T1869-W1869)/T1869</f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>AJ1869</f>
        <v>0</v>
      </c>
      <c r="AJ1869" s="2">
        <f>AI1869*T1869</f>
        <v>0</v>
      </c>
      <c r="AK1869" s="2">
        <f>T1869-W1869</f>
        <v>498</v>
      </c>
      <c r="AL1869" s="5">
        <f>(T1869-W1869)/T1869</f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>(T1870-W1870)/T1870</f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>AJ1870</f>
        <v>0</v>
      </c>
      <c r="AG1870" s="2">
        <v>121.0733</v>
      </c>
      <c r="AH1870" s="2">
        <v>220</v>
      </c>
      <c r="AJ1870" s="2">
        <f>AI1870*T1870</f>
        <v>0</v>
      </c>
      <c r="AK1870" s="2">
        <f>T1870-W1870</f>
        <v>98.02</v>
      </c>
      <c r="AL1870" s="5">
        <f>(T1870-W1870)/T1870</f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>(T1871-W1871)/T1871</f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>AJ1871</f>
        <v>0</v>
      </c>
      <c r="AG1871" s="2">
        <v>122.446</v>
      </c>
      <c r="AH1871" s="2">
        <v>230</v>
      </c>
      <c r="AJ1871" s="2">
        <f>AI1871*T1871</f>
        <v>0</v>
      </c>
      <c r="AK1871" s="2">
        <f>T1871-W1871</f>
        <v>97.554000000000002</v>
      </c>
      <c r="AL1871" s="5">
        <f>(T1871-W1871)/T1871</f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>(T1872-W1872)/T1872</f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>AJ1872</f>
        <v>0</v>
      </c>
      <c r="AG1872" s="2">
        <v>110.68</v>
      </c>
      <c r="AH1872" s="2">
        <v>210</v>
      </c>
      <c r="AJ1872" s="2">
        <f>AI1872*T1872</f>
        <v>0</v>
      </c>
      <c r="AK1872" s="2">
        <f>T1872-W1872</f>
        <v>89.32</v>
      </c>
      <c r="AL1872" s="5">
        <f>(T1872-W1872)/T1872</f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>(T1873-W1873)/T1873</f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>AJ1873</f>
        <v>0</v>
      </c>
      <c r="AG1873" s="2">
        <v>1.1399999999999999</v>
      </c>
      <c r="AH1873" s="2">
        <v>1.1399999999999999</v>
      </c>
      <c r="AJ1873" s="2">
        <f>AI1873*T1873</f>
        <v>0</v>
      </c>
      <c r="AK1873" s="2">
        <f>T1873-W1873</f>
        <v>0</v>
      </c>
      <c r="AL1873" s="5">
        <f>(T1873-W1873)/T1873</f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>(T1874-W1874)/T1874</f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>AJ1874</f>
        <v>0</v>
      </c>
      <c r="AJ1874" s="2">
        <f>AI1874*T1874</f>
        <v>0</v>
      </c>
      <c r="AK1874" s="2">
        <f>T1874-W1874</f>
        <v>32.4</v>
      </c>
      <c r="AL1874" s="5">
        <f>(T1874-W1874)/T1874</f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>(T1875-W1875)/T1875</f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>AJ1875</f>
        <v>0</v>
      </c>
      <c r="AJ1875" s="2">
        <f>AI1875*T1875</f>
        <v>0</v>
      </c>
      <c r="AK1875" s="2">
        <f>T1875-W1875</f>
        <v>37.5</v>
      </c>
      <c r="AL1875" s="5">
        <f>(T1875-W1875)/T1875</f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>(T1876-W1876)/T1876</f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>AJ1876</f>
        <v>0</v>
      </c>
      <c r="AG1876" s="2">
        <v>1.4114</v>
      </c>
      <c r="AH1876" s="2">
        <v>3</v>
      </c>
      <c r="AJ1876" s="2">
        <f>AI1876*T1876</f>
        <v>0</v>
      </c>
      <c r="AK1876" s="2">
        <f>T1876-W1876</f>
        <v>3.9543999999999997</v>
      </c>
      <c r="AL1876" s="5">
        <f>(T1876-W1876)/T1876</f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>(T1877-W1877)/T1877</f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>AJ1877</f>
        <v>0</v>
      </c>
      <c r="AJ1877" s="2">
        <f>AI1877*T1877</f>
        <v>0</v>
      </c>
      <c r="AK1877" s="2">
        <f>T1877-W1877</f>
        <v>8.41</v>
      </c>
      <c r="AL1877" s="5">
        <f>(T1877-W1877)/T1877</f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>(T1878-W1878)/T1878</f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>AJ1878</f>
        <v>0</v>
      </c>
      <c r="AG1878" s="2">
        <v>117.453</v>
      </c>
      <c r="AH1878" s="2">
        <v>220</v>
      </c>
      <c r="AJ1878" s="2">
        <f>AI1878*T1878</f>
        <v>0</v>
      </c>
      <c r="AK1878" s="2">
        <f>T1878-W1878</f>
        <v>102.547</v>
      </c>
      <c r="AL1878" s="5">
        <f>(T1878-W1878)/T1878</f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>(T1879-W1879)/T1879</f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>AJ1879</f>
        <v>0</v>
      </c>
      <c r="AG1879" s="2">
        <v>1.1399999999999999</v>
      </c>
      <c r="AH1879" s="2">
        <v>1.1399999999999999</v>
      </c>
      <c r="AJ1879" s="2">
        <f>AI1879*T1879</f>
        <v>0</v>
      </c>
      <c r="AK1879" s="2">
        <f>T1879-W1879</f>
        <v>0</v>
      </c>
      <c r="AL1879" s="5">
        <f>(T1879-W1879)/T1879</f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>(T1880-W1880)/T1880</f>
        <v>1</v>
      </c>
      <c r="Z1880" s="2" t="s">
        <v>118</v>
      </c>
      <c r="AF1880" s="2">
        <f>AJ1880</f>
        <v>0</v>
      </c>
      <c r="AJ1880" s="2">
        <f>AI1880*T1880</f>
        <v>0</v>
      </c>
      <c r="AK1880" s="2">
        <f>T1880-W1880</f>
        <v>438.9</v>
      </c>
      <c r="AL1880" s="5">
        <f>(T1880-W1880)/T1880</f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>(T1881-W1881)/T1881</f>
        <v>1</v>
      </c>
      <c r="Z1881" s="2" t="s">
        <v>118</v>
      </c>
      <c r="AF1881" s="2">
        <f>AJ1881</f>
        <v>0</v>
      </c>
      <c r="AJ1881" s="2">
        <f>AI1881*T1881</f>
        <v>0</v>
      </c>
      <c r="AK1881" s="2">
        <f>T1881-W1881</f>
        <v>153.34</v>
      </c>
      <c r="AL1881" s="5">
        <f>(T1881-W1881)/T1881</f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>(T1882-W1882)/T1882</f>
        <v>1</v>
      </c>
      <c r="Z1882" s="2" t="s">
        <v>118</v>
      </c>
      <c r="AF1882" s="2">
        <f>AJ1882</f>
        <v>0</v>
      </c>
      <c r="AJ1882" s="2">
        <f>AI1882*T1882</f>
        <v>0</v>
      </c>
      <c r="AK1882" s="2">
        <f>T1882-W1882</f>
        <v>57.15</v>
      </c>
      <c r="AL1882" s="5">
        <f>(T1882-W1882)/T1882</f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>(T1883-W1883)/T1883</f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>AJ1883</f>
        <v>0</v>
      </c>
      <c r="AJ1883" s="2">
        <f>AI1883*T1883</f>
        <v>0</v>
      </c>
      <c r="AK1883" s="2">
        <f>T1883-W1883</f>
        <v>354.09659999999997</v>
      </c>
      <c r="AL1883" s="5">
        <f>(T1883-W1883)/T1883</f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>(T1884-W1884)/T1884</f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>AJ1884</f>
        <v>0</v>
      </c>
      <c r="AJ1884" s="2">
        <f>AI1884*T1884</f>
        <v>0</v>
      </c>
      <c r="AK1884" s="2">
        <f>T1884-W1884</f>
        <v>33</v>
      </c>
      <c r="AL1884" s="5">
        <f>(T1884-W1884)/T1884</f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>(T1885-W1885)/T1885</f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>AJ1885</f>
        <v>0</v>
      </c>
      <c r="AJ1885" s="2">
        <f>AI1885*T1885</f>
        <v>0</v>
      </c>
      <c r="AK1885" s="2">
        <f>T1885-W1885</f>
        <v>25</v>
      </c>
      <c r="AL1885" s="5">
        <f>(T1885-W1885)/T1885</f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>(T1886-W1886)/T1886</f>
        <v>1</v>
      </c>
      <c r="Z1886" s="2" t="s">
        <v>118</v>
      </c>
      <c r="AF1886" s="2">
        <f>AJ1886</f>
        <v>0</v>
      </c>
      <c r="AJ1886" s="2">
        <f>AI1886*T1886</f>
        <v>0</v>
      </c>
      <c r="AK1886" s="2">
        <f>T1886-W1886</f>
        <v>153.34</v>
      </c>
      <c r="AL1886" s="5">
        <f>(T1886-W1886)/T1886</f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>(T1887-W1887)/T1887</f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>AJ1887</f>
        <v>0</v>
      </c>
      <c r="AJ1887" s="2">
        <f>AI1887*T1887</f>
        <v>0</v>
      </c>
      <c r="AK1887" s="2">
        <f>T1887-W1887</f>
        <v>2.3845999999999998</v>
      </c>
      <c r="AL1887" s="5">
        <f>(T1887-W1887)/T1887</f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>(T1888-W1888)/T1888</f>
        <v>1</v>
      </c>
      <c r="Z1888" s="2" t="s">
        <v>3231</v>
      </c>
      <c r="AF1888" s="2">
        <f>AJ1888</f>
        <v>0</v>
      </c>
      <c r="AJ1888" s="2">
        <f>AI1888*T1888</f>
        <v>0</v>
      </c>
      <c r="AK1888" s="2">
        <f>T1888-W1888</f>
        <v>913.93</v>
      </c>
      <c r="AL1888" s="5">
        <f>(T1888-W1888)/T1888</f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>(T1889-W1889)/T1889</f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>AJ1889</f>
        <v>0</v>
      </c>
      <c r="AG1889" s="2">
        <v>6.6266999999999996</v>
      </c>
      <c r="AH1889" s="2">
        <v>12</v>
      </c>
      <c r="AJ1889" s="2">
        <f>AI1889*T1889</f>
        <v>0</v>
      </c>
      <c r="AK1889" s="2">
        <f>T1889-W1889</f>
        <v>16.119900000000001</v>
      </c>
      <c r="AL1889" s="5">
        <f>(T1889-W1889)/T1889</f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>(T1890-W1890)/T1890</f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>AJ1890</f>
        <v>0</v>
      </c>
      <c r="AG1890" s="2">
        <v>3.7357999999999998</v>
      </c>
      <c r="AH1890" s="2">
        <v>9</v>
      </c>
      <c r="AJ1890" s="2">
        <f>AI1890*T1890</f>
        <v>0</v>
      </c>
      <c r="AK1890" s="2">
        <f>T1890-W1890</f>
        <v>4.0641999999999996</v>
      </c>
      <c r="AL1890" s="5">
        <f>(T1890-W1890)/T1890</f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>(T1891-W1891)/T1891</f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>AJ1891</f>
        <v>0</v>
      </c>
      <c r="AG1891" s="2">
        <v>10.6</v>
      </c>
      <c r="AH1891" s="2">
        <v>18</v>
      </c>
      <c r="AJ1891" s="2">
        <f>AI1891*T1891</f>
        <v>0</v>
      </c>
      <c r="AK1891" s="2">
        <f>T1891-W1891</f>
        <v>14.8</v>
      </c>
      <c r="AL1891" s="5">
        <f>(T1891-W1891)/T1891</f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>(T1892-W1892)/T1892</f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>AJ1892</f>
        <v>0</v>
      </c>
      <c r="AG1892" s="2">
        <v>7.9611999999999998</v>
      </c>
      <c r="AH1892" s="2">
        <v>14.4</v>
      </c>
      <c r="AJ1892" s="2">
        <f>AI1892*T1892</f>
        <v>0</v>
      </c>
      <c r="AK1892" s="2">
        <f>T1892-W1892</f>
        <v>7.0388000000000002</v>
      </c>
      <c r="AL1892" s="5">
        <f>(T1892-W1892)/T1892</f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>(T1893-W1893)/T1893</f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>AJ1893</f>
        <v>0</v>
      </c>
      <c r="AJ1893" s="2">
        <f>AI1893*T1893</f>
        <v>0</v>
      </c>
      <c r="AK1893" s="2">
        <f>T1893-W1893</f>
        <v>6.0600000000000005</v>
      </c>
      <c r="AL1893" s="5">
        <f>(T1893-W1893)/T1893</f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>(T1894-W1894)/T1894</f>
        <v>0.72165555555555549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>AJ1894</f>
        <v>0</v>
      </c>
      <c r="AJ1894" s="2">
        <f>AI1894*T1894</f>
        <v>0</v>
      </c>
      <c r="AK1894" s="2">
        <f>T1894-W1894</f>
        <v>6.4948999999999995</v>
      </c>
      <c r="AL1894" s="5">
        <f>(T1894-W1894)/T1894</f>
        <v>0.72165555555555549</v>
      </c>
    </row>
    <row r="1895" spans="1:38" x14ac:dyDescent="0.2">
      <c r="A1895" s="2">
        <v>2025</v>
      </c>
      <c r="B1895" s="2">
        <v>10</v>
      </c>
      <c r="C1895" s="2" t="s">
        <v>3408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>(T1895-W1895)/T1895</f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>AJ1895</f>
        <v>0</v>
      </c>
      <c r="AJ1895" s="2">
        <f>AI1895*T1895</f>
        <v>0</v>
      </c>
      <c r="AK1895" s="2">
        <f>T1895-W1895</f>
        <v>1003.8000000000002</v>
      </c>
      <c r="AL1895" s="5">
        <f>(T1895-W1895)/T1895</f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>AJ1896</f>
        <v>0</v>
      </c>
      <c r="AJ1896" s="2">
        <f>AI1896*T1896</f>
        <v>0</v>
      </c>
      <c r="AK1896" s="2">
        <f>T1896-W1896</f>
        <v>1912.2773</v>
      </c>
      <c r="AL1896" s="5">
        <f>(T1896-W1896)/T1896</f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>(T1897-W1897)/T1897</f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>AJ1897</f>
        <v>0</v>
      </c>
      <c r="AG1897" s="2">
        <v>117.453</v>
      </c>
      <c r="AH1897" s="2">
        <v>220</v>
      </c>
      <c r="AJ1897" s="2">
        <f>AI1897*T1897</f>
        <v>0</v>
      </c>
      <c r="AK1897" s="2">
        <f>T1897-W1897</f>
        <v>92.546999999999997</v>
      </c>
      <c r="AL1897" s="5">
        <f>(T1897-W1897)/T1897</f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>(T1898-W1898)/T1898</f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>AJ1898</f>
        <v>0</v>
      </c>
      <c r="AJ1898" s="2">
        <f>AI1898*T1898</f>
        <v>0</v>
      </c>
      <c r="AK1898" s="2">
        <f>T1898-W1898</f>
        <v>0</v>
      </c>
      <c r="AL1898" s="5">
        <f>(T1898-W1898)/T1898</f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>AJ1899</f>
        <v>0</v>
      </c>
      <c r="AJ1899" s="2">
        <f>AI1899*T1899</f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>(T1900-W1900)/T1900</f>
        <v>1</v>
      </c>
      <c r="Z1900" s="2" t="s">
        <v>105</v>
      </c>
      <c r="AF1900" s="2">
        <f>AJ1900</f>
        <v>0</v>
      </c>
      <c r="AJ1900" s="2">
        <f>AI1900*T1900</f>
        <v>0</v>
      </c>
      <c r="AK1900" s="2">
        <f>T1900-W1900</f>
        <v>6770</v>
      </c>
      <c r="AL1900" s="5">
        <f>(T1900-W1900)/T1900</f>
        <v>1</v>
      </c>
    </row>
    <row r="1901" spans="1:38" x14ac:dyDescent="0.2">
      <c r="A1901" s="2">
        <v>2025</v>
      </c>
      <c r="B1901" s="2">
        <v>10</v>
      </c>
      <c r="C1901" s="2" t="s">
        <v>3408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>(T1901-W1901)/T1901</f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>AJ1901</f>
        <v>0</v>
      </c>
      <c r="AJ1901" s="2">
        <f>AI1901*T1901</f>
        <v>0</v>
      </c>
      <c r="AK1901" s="2">
        <f>T1901-W1901</f>
        <v>43.47</v>
      </c>
      <c r="AL1901" s="5">
        <f>(T1901-W1901)/T1901</f>
        <v>0.44443308455168179</v>
      </c>
    </row>
    <row r="1902" spans="1:38" x14ac:dyDescent="0.2">
      <c r="A1902" s="2">
        <v>2025</v>
      </c>
      <c r="B1902" s="2">
        <v>10</v>
      </c>
      <c r="C1902" s="2" t="s">
        <v>3408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>(T1902-W1902)/T1902</f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>AJ1902</f>
        <v>0</v>
      </c>
      <c r="AJ1902" s="2">
        <f>AI1902*T1902</f>
        <v>0</v>
      </c>
      <c r="AK1902" s="2">
        <f>T1902-W1902</f>
        <v>36.450000000000003</v>
      </c>
      <c r="AL1902" s="5">
        <f>(T1902-W1902)/T1902</f>
        <v>0.60000000000000009</v>
      </c>
    </row>
    <row r="1903" spans="1:38" x14ac:dyDescent="0.2">
      <c r="A1903" s="2">
        <v>2025</v>
      </c>
      <c r="B1903" s="2">
        <v>10</v>
      </c>
      <c r="C1903" s="2" t="s">
        <v>3408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>(T1903-W1903)/T1903</f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>AJ1903</f>
        <v>0</v>
      </c>
      <c r="AJ1903" s="2">
        <f>AI1903*T1903</f>
        <v>0</v>
      </c>
      <c r="AK1903" s="2">
        <f>T1903-W1903</f>
        <v>22.5</v>
      </c>
      <c r="AL1903" s="5">
        <f>(T1903-W1903)/T1903</f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>(T1904-W1904)/T1904</f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>AJ1904</f>
        <v>0</v>
      </c>
      <c r="AJ1904" s="2">
        <f>AI1904*T1904</f>
        <v>0</v>
      </c>
      <c r="AK1904" s="2">
        <f>T1904-W1904</f>
        <v>103.85</v>
      </c>
      <c r="AL1904" s="5">
        <f>(T1904-W1904)/T1904</f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>(T1905-W1905)/T1905</f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>AJ1905</f>
        <v>0</v>
      </c>
      <c r="AJ1905" s="2">
        <f>AI1905*T1905</f>
        <v>0</v>
      </c>
      <c r="AK1905" s="2">
        <f>T1905-W1905</f>
        <v>0</v>
      </c>
      <c r="AL1905" s="5">
        <f>(T1905-W1905)/T1905</f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>(T1906-W1906)/T1906</f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>AJ1906</f>
        <v>0</v>
      </c>
      <c r="AG1906" s="2">
        <v>10.6</v>
      </c>
      <c r="AH1906" s="2">
        <v>18</v>
      </c>
      <c r="AJ1906" s="2">
        <f>AI1906*T1906</f>
        <v>0</v>
      </c>
      <c r="AK1906" s="2">
        <f>T1906-W1906</f>
        <v>14.8</v>
      </c>
      <c r="AL1906" s="5">
        <f>(T1906-W1906)/T1906</f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>(T1907-W1907)/T1907</f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>AJ1907</f>
        <v>0</v>
      </c>
      <c r="AG1907" s="2">
        <v>8.1999999999999993</v>
      </c>
      <c r="AH1907" s="2">
        <v>13</v>
      </c>
      <c r="AJ1907" s="2">
        <f>AI1907*T1907</f>
        <v>0</v>
      </c>
      <c r="AK1907" s="2">
        <f>T1907-W1907</f>
        <v>9.5999999999999979</v>
      </c>
      <c r="AL1907" s="5">
        <f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3417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>(T1908-W1908)/T1908</f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>AJ1908</f>
        <v>0</v>
      </c>
      <c r="AJ1908" s="2">
        <f>AI1908*T1908</f>
        <v>0</v>
      </c>
      <c r="AK1908" s="2">
        <f>T1908-W1908</f>
        <v>12.120000000000001</v>
      </c>
      <c r="AL1908" s="5">
        <f>(T1908-W1908)/T1908</f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>(T1909-W1909)/T1909</f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>AJ1909</f>
        <v>0</v>
      </c>
      <c r="AJ1909" s="2">
        <f>AI1909*T1909</f>
        <v>0</v>
      </c>
      <c r="AK1909" s="2">
        <f>T1909-W1909</f>
        <v>0</v>
      </c>
      <c r="AL1909" s="5">
        <f>(T1909-W1909)/T1909</f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>(T1910-W1910)/T1910</f>
        <v>1</v>
      </c>
      <c r="AF1910" s="2">
        <f>AJ1910</f>
        <v>0</v>
      </c>
      <c r="AJ1910" s="2">
        <f>AI1910*T1910</f>
        <v>0</v>
      </c>
      <c r="AK1910" s="2">
        <f>T1910-W1910</f>
        <v>330</v>
      </c>
      <c r="AL1910" s="5">
        <f>(T1910-W1910)/T1910</f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>(T1911-W1911)/T1911</f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>AJ1911</f>
        <v>0</v>
      </c>
      <c r="AG1911" s="2">
        <v>117.453</v>
      </c>
      <c r="AH1911" s="2">
        <v>220</v>
      </c>
      <c r="AJ1911" s="2">
        <f>AI1911*T1911</f>
        <v>0</v>
      </c>
      <c r="AK1911" s="2">
        <f>T1911-W1911</f>
        <v>102.547</v>
      </c>
      <c r="AL1911" s="5">
        <f>(T1911-W1911)/T1911</f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>(T1912-W1912)/T1912</f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>AJ1912</f>
        <v>0</v>
      </c>
      <c r="AJ1912" s="2">
        <f>AI1912*T1912</f>
        <v>0</v>
      </c>
      <c r="AK1912" s="2">
        <f>T1912-W1912</f>
        <v>0</v>
      </c>
      <c r="AL1912" s="5">
        <f>(T1912-W1912)/T1912</f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>(T1913-W1913)/T1913</f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>AJ1913</f>
        <v>0</v>
      </c>
      <c r="AG1913" s="2">
        <v>8.1999999999999993</v>
      </c>
      <c r="AH1913" s="2">
        <v>13</v>
      </c>
      <c r="AJ1913" s="2">
        <f>AI1913*T1913</f>
        <v>0</v>
      </c>
      <c r="AK1913" s="2">
        <f>T1913-W1913</f>
        <v>9.5999999999999979</v>
      </c>
      <c r="AL1913" s="5">
        <f>(T1913-W1913)/T1913</f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>(T1914-W1914)/T1914</f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>AJ1914</f>
        <v>0</v>
      </c>
      <c r="AG1914" s="2">
        <v>7.9611999999999998</v>
      </c>
      <c r="AH1914" s="2">
        <v>14.4</v>
      </c>
      <c r="AJ1914" s="2">
        <f>AI1914*T1914</f>
        <v>0</v>
      </c>
      <c r="AK1914" s="2">
        <f>T1914-W1914</f>
        <v>6.5388000000000002</v>
      </c>
      <c r="AL1914" s="5">
        <f>(T1914-W1914)/T1914</f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>(T1915-W1915)/T1915</f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>AJ1915</f>
        <v>0</v>
      </c>
      <c r="AG1915" s="2">
        <v>10.6</v>
      </c>
      <c r="AH1915" s="2">
        <v>18</v>
      </c>
      <c r="AJ1915" s="2">
        <f>AI1915*T1915</f>
        <v>0</v>
      </c>
      <c r="AK1915" s="2">
        <f>T1915-W1915</f>
        <v>22.200000000000003</v>
      </c>
      <c r="AL1915" s="5">
        <f>(T1915-W1915)/T1915</f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>(T1916-W1916)/T1916</f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>AJ1916</f>
        <v>0</v>
      </c>
      <c r="AG1916" s="2">
        <v>8.1999999999999993</v>
      </c>
      <c r="AH1916" s="2">
        <v>13</v>
      </c>
      <c r="AJ1916" s="2">
        <f>AI1916*T1916</f>
        <v>0</v>
      </c>
      <c r="AK1916" s="2">
        <f>T1916-W1916</f>
        <v>4.7999999999999989</v>
      </c>
      <c r="AL1916" s="5">
        <f>(T1916-W1916)/T1916</f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>(T1917-W1917)/T1917</f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>AJ1917</f>
        <v>0</v>
      </c>
      <c r="AJ1917" s="2">
        <f>AI1917*T1917</f>
        <v>0</v>
      </c>
      <c r="AK1917" s="2">
        <f>T1917-W1917</f>
        <v>6.8600000000000012</v>
      </c>
      <c r="AL1917" s="5">
        <f>(T1917-W1917)/T1917</f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>(T1918-W1918)/T1918</f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>AJ1918</f>
        <v>0</v>
      </c>
      <c r="AG1918" s="2">
        <v>10.6</v>
      </c>
      <c r="AH1918" s="2">
        <v>18</v>
      </c>
      <c r="AJ1918" s="2">
        <f>AI1918*T1918</f>
        <v>0</v>
      </c>
      <c r="AK1918" s="2">
        <f>T1918-W1918</f>
        <v>7.4</v>
      </c>
      <c r="AL1918" s="5">
        <f>(T1918-W1918)/T1918</f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>(T1919-W1919)/T1919</f>
        <v>1</v>
      </c>
      <c r="AF1919" s="2">
        <f>AJ1919</f>
        <v>0</v>
      </c>
      <c r="AJ1919" s="2">
        <f>AI1919*T1919</f>
        <v>0</v>
      </c>
      <c r="AK1919" s="2">
        <f>T1919-W1919</f>
        <v>12.81</v>
      </c>
      <c r="AL1919" s="5">
        <f>(T1919-W1919)/T1919</f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>(T1920-W1920)/T1920</f>
        <v>1</v>
      </c>
      <c r="AF1920" s="2">
        <f>AJ1920</f>
        <v>0</v>
      </c>
      <c r="AJ1920" s="2">
        <f>AI1920*T1920</f>
        <v>0</v>
      </c>
      <c r="AK1920" s="2">
        <f>T1920-W1920</f>
        <v>68.42</v>
      </c>
      <c r="AL1920" s="5">
        <f>(T1920-W1920)/T1920</f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>(T1921-W1921)/T1921</f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>AJ1921</f>
        <v>0</v>
      </c>
      <c r="AJ1921" s="2">
        <f>AI1921*T1921</f>
        <v>0</v>
      </c>
      <c r="AK1921" s="2">
        <f>T1921-W1921</f>
        <v>161.71</v>
      </c>
      <c r="AL1921" s="5">
        <f>(T1921-W1921)/T1921</f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>(T1922-W1922)/T1922</f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>AJ1922</f>
        <v>0</v>
      </c>
      <c r="AJ1922" s="2">
        <f>AI1922*T1922</f>
        <v>0</v>
      </c>
      <c r="AK1922" s="2">
        <f>T1922-W1922</f>
        <v>0</v>
      </c>
      <c r="AL1922" s="5">
        <f>(T1922-W1922)/T1922</f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>(T1923-W1923)/T1923</f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>AJ1923</f>
        <v>0</v>
      </c>
      <c r="AG1923" s="2">
        <v>111.98</v>
      </c>
      <c r="AH1923" s="2">
        <v>210</v>
      </c>
      <c r="AJ1923" s="2">
        <f>AI1923*T1923</f>
        <v>0</v>
      </c>
      <c r="AK1923" s="2">
        <f>T1923-W1923</f>
        <v>154.34</v>
      </c>
      <c r="AL1923" s="5">
        <f>(T1923-W1923)/T1923</f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>(T1924-W1924)/T1924</f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>AJ1924</f>
        <v>0</v>
      </c>
      <c r="AG1924" s="2">
        <f>110.125+11.77</f>
        <v>121.895</v>
      </c>
      <c r="AJ1924" s="2">
        <f>AI1924*T1924</f>
        <v>0</v>
      </c>
      <c r="AK1924" s="2">
        <f>T1924-W1924</f>
        <v>149.70500000000004</v>
      </c>
      <c r="AL1924" s="5">
        <f>(T1924-W1924)/T1924</f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>(T1925-W1925)/T1925</f>
        <v>1</v>
      </c>
      <c r="Z1925" s="2" t="s">
        <v>170</v>
      </c>
      <c r="AA1925" s="2" t="s">
        <v>170</v>
      </c>
      <c r="AF1925" s="2">
        <f>AJ1925</f>
        <v>0</v>
      </c>
      <c r="AJ1925" s="2">
        <f>AI1925*T1925</f>
        <v>0</v>
      </c>
      <c r="AK1925" s="2">
        <f>T1925-W1925</f>
        <v>120</v>
      </c>
      <c r="AL1925" s="5">
        <f>(T1925-W1925)/T1925</f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>(T1926-W1926)/T1926</f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>AJ1926</f>
        <v>0</v>
      </c>
      <c r="AJ1926" s="2">
        <f>AI1926*T1926</f>
        <v>0</v>
      </c>
      <c r="AK1926" s="2">
        <f>T1926-W1926</f>
        <v>0</v>
      </c>
      <c r="AL1926" s="5">
        <f>(T1926-W1926)/T1926</f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>(T1927-W1927)/T1927</f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>AJ1927</f>
        <v>0</v>
      </c>
      <c r="AJ1927" s="2">
        <f>AI1927*T1927</f>
        <v>0</v>
      </c>
      <c r="AK1927" s="2">
        <f>T1927-W1927</f>
        <v>52</v>
      </c>
      <c r="AL1927" s="5">
        <f>(T1927-W1927)/T1927</f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>(T1928-W1928)/T1928</f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>AJ1928</f>
        <v>0</v>
      </c>
      <c r="AJ1928" s="2">
        <f>AI1928*T1928</f>
        <v>0</v>
      </c>
      <c r="AK1928" s="2">
        <f>T1928-W1928</f>
        <v>52</v>
      </c>
      <c r="AL1928" s="5">
        <f>(T1928-W1928)/T1928</f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>(T1929-W1929)/T1929</f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>AJ1929</f>
        <v>0</v>
      </c>
      <c r="AJ1929" s="2">
        <f>AI1929*T1929</f>
        <v>0</v>
      </c>
      <c r="AK1929" s="2">
        <f>T1929-W1929</f>
        <v>898.40300000000002</v>
      </c>
      <c r="AL1929" s="5">
        <f>(T1929-W1929)/T1929</f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>(T1930-W1930)/T1930</f>
        <v>1</v>
      </c>
      <c r="Z1930" s="2" t="s">
        <v>105</v>
      </c>
      <c r="AC1930" s="2" t="s">
        <v>3235</v>
      </c>
      <c r="AF1930" s="2">
        <f>AJ1930</f>
        <v>0</v>
      </c>
      <c r="AJ1930" s="2">
        <f>AI1930*T1930</f>
        <v>0</v>
      </c>
      <c r="AK1930" s="2">
        <f>T1930-W1930</f>
        <v>3800</v>
      </c>
      <c r="AL1930" s="5">
        <f>(T1930-W1930)/T1930</f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>(T1931-W1931)/T1931</f>
        <v>1</v>
      </c>
      <c r="AF1931" s="2">
        <f>AJ1931</f>
        <v>0</v>
      </c>
      <c r="AJ1931" s="2">
        <f>AI1931*T1931</f>
        <v>0</v>
      </c>
      <c r="AK1931" s="2">
        <f>T1931-W1931</f>
        <v>1031.94</v>
      </c>
      <c r="AL1931" s="5">
        <f>(T1931-W1931)/T1931</f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>(T1932-W1932)/T1932</f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>AJ1932</f>
        <v>0</v>
      </c>
      <c r="AJ1932" s="2">
        <f>AI1932*T1932</f>
        <v>0</v>
      </c>
      <c r="AK1932" s="2">
        <f>T1932-W1932</f>
        <v>39</v>
      </c>
      <c r="AL1932" s="5">
        <f>(T1932-W1932)/T1932</f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>AJ1933</f>
        <v>0</v>
      </c>
      <c r="AJ1933" s="2">
        <f>AI1933*T1933</f>
        <v>0</v>
      </c>
      <c r="AK1933" s="2">
        <f>T1933-W1933</f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3408</v>
      </c>
      <c r="D1934" s="2" t="s">
        <v>3466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>(T1934-W1934)/T1934</f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>AJ1934</f>
        <v>0</v>
      </c>
      <c r="AJ1934" s="2">
        <f>AI1934*T1934</f>
        <v>0</v>
      </c>
      <c r="AK1934" s="2">
        <f>T1934-W1934</f>
        <v>207.75549999999998</v>
      </c>
      <c r="AL1934" s="5">
        <f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3408</v>
      </c>
      <c r="D1935" s="2" t="s">
        <v>3466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>(T1935-W1935)/T1935</f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>AJ1935</f>
        <v>0</v>
      </c>
      <c r="AJ1935" s="2">
        <f>AI1935*T1935</f>
        <v>0</v>
      </c>
      <c r="AK1935" s="2">
        <f>T1935-W1935</f>
        <v>2862.0299999999988</v>
      </c>
      <c r="AL1935" s="5">
        <f>(T1935-W1935)/T1935</f>
        <v>0.14408850626793529</v>
      </c>
    </row>
    <row r="1936" spans="1:38" x14ac:dyDescent="0.2">
      <c r="A1936" s="2">
        <v>2025</v>
      </c>
      <c r="B1936" s="2">
        <v>10</v>
      </c>
      <c r="C1936" s="2" t="s">
        <v>3408</v>
      </c>
      <c r="D1936" s="2" t="s">
        <v>3466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>(T1936-W1936)/T1936</f>
        <v>1</v>
      </c>
      <c r="Z1936" s="2" t="s">
        <v>105</v>
      </c>
      <c r="AF1936" s="2">
        <f>AJ1936</f>
        <v>0</v>
      </c>
      <c r="AJ1936" s="2">
        <f>AI1936*T1936</f>
        <v>0</v>
      </c>
      <c r="AK1936" s="2">
        <f>T1936-W1936</f>
        <v>3685</v>
      </c>
      <c r="AL1936" s="5">
        <f>(T1936-W1936)/T1936</f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>(T1937-W1937)/T1937</f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>AJ1937</f>
        <v>0</v>
      </c>
      <c r="AG1937" s="2">
        <v>117.453</v>
      </c>
      <c r="AH1937" s="2">
        <v>220</v>
      </c>
      <c r="AJ1937" s="2">
        <f>AI1937*T1937</f>
        <v>0</v>
      </c>
      <c r="AK1937" s="2">
        <f>T1937-W1937</f>
        <v>102.547</v>
      </c>
      <c r="AL1937" s="5">
        <f>(T1937-W1937)/T1937</f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>(T1938-W1938)/T1938</f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>AJ1938</f>
        <v>0</v>
      </c>
      <c r="AJ1938" s="2">
        <f>AI1938*T1938</f>
        <v>0</v>
      </c>
      <c r="AK1938" s="2">
        <f>T1938-W1938</f>
        <v>0</v>
      </c>
      <c r="AL1938" s="5">
        <f>(T1938-W1938)/T1938</f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>(T1939-W1939)/T1939</f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>AJ1939</f>
        <v>0</v>
      </c>
      <c r="AG1939" s="2">
        <v>6.6266999999999996</v>
      </c>
      <c r="AH1939" s="2">
        <v>12</v>
      </c>
      <c r="AJ1939" s="2">
        <f>AI1939*T1939</f>
        <v>0</v>
      </c>
      <c r="AK1939" s="2">
        <f>T1939-W1939</f>
        <v>5.3733000000000004</v>
      </c>
      <c r="AL1939" s="5">
        <f>(T1939-W1939)/T1939</f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>(T1940-W1940)/T1940</f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>AJ1940</f>
        <v>0</v>
      </c>
      <c r="AG1940" s="2">
        <v>10.6</v>
      </c>
      <c r="AH1940" s="2">
        <v>18</v>
      </c>
      <c r="AJ1940" s="2">
        <f>AI1940*T1940</f>
        <v>0</v>
      </c>
      <c r="AK1940" s="2">
        <f>T1940-W1940</f>
        <v>14.8</v>
      </c>
      <c r="AL1940" s="5">
        <f>(T1940-W1940)/T1940</f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>(T1941-W1941)/T1941</f>
        <v>1</v>
      </c>
      <c r="Z1941" s="2" t="s">
        <v>170</v>
      </c>
      <c r="AA1941" s="2" t="s">
        <v>170</v>
      </c>
      <c r="AF1941" s="2">
        <f>AJ1941</f>
        <v>0</v>
      </c>
      <c r="AJ1941" s="2">
        <f>AI1941*T1941</f>
        <v>0</v>
      </c>
      <c r="AK1941" s="2">
        <f>T1941-W1941</f>
        <v>8</v>
      </c>
      <c r="AL1941" s="5">
        <f>(T1941-W1941)/T1941</f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>(T1942-W1942)/T1942</f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>AJ1942</f>
        <v>0</v>
      </c>
      <c r="AG1942" s="2">
        <v>8.1999999999999993</v>
      </c>
      <c r="AH1942" s="2">
        <v>13</v>
      </c>
      <c r="AJ1942" s="2">
        <f>AI1942*T1942</f>
        <v>0</v>
      </c>
      <c r="AK1942" s="2">
        <f>T1942-W1942</f>
        <v>46</v>
      </c>
      <c r="AL1942" s="5">
        <f>(T1942-W1942)/T1942</f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>(T1943-W1943)/T1943</f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>AJ1943</f>
        <v>0</v>
      </c>
      <c r="AG1943" s="2">
        <v>15.020300000000001</v>
      </c>
      <c r="AH1943" s="2">
        <v>27.6</v>
      </c>
      <c r="AJ1943" s="2">
        <f>AI1943*T1943</f>
        <v>0</v>
      </c>
      <c r="AK1943" s="2">
        <f>T1943-W1943</f>
        <v>27.918799999999997</v>
      </c>
      <c r="AL1943" s="5">
        <f>(T1943-W1943)/T1943</f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>AJ1944</f>
        <v>0</v>
      </c>
      <c r="AJ1944" s="2">
        <f>AI1944*T1944</f>
        <v>0</v>
      </c>
      <c r="AK1944" s="2">
        <f>T1944-W1944</f>
        <v>0</v>
      </c>
      <c r="AL1944" s="5" t="e">
        <f>(T1944-W1944)/T1944</f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>(T1945-W1945)/T1945</f>
        <v>1</v>
      </c>
      <c r="Z1945" s="2" t="s">
        <v>105</v>
      </c>
      <c r="AF1945" s="2">
        <f>AJ1945</f>
        <v>0</v>
      </c>
      <c r="AJ1945" s="2">
        <f>AI1945*T1945</f>
        <v>0</v>
      </c>
      <c r="AK1945" s="2">
        <f>T1945-W1945</f>
        <v>13990</v>
      </c>
      <c r="AL1945" s="5">
        <f>(T1945-W1945)/T1945</f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>(T1946-W1946)/T1946</f>
        <v>1</v>
      </c>
      <c r="Z1946" s="2" t="s">
        <v>3231</v>
      </c>
      <c r="AC1946" s="2" t="s">
        <v>3235</v>
      </c>
      <c r="AF1946" s="2">
        <f>AJ1946</f>
        <v>0</v>
      </c>
      <c r="AJ1946" s="2">
        <f>AI1946*T1946</f>
        <v>0</v>
      </c>
      <c r="AK1946" s="2">
        <f>T1946-W1946</f>
        <v>1450</v>
      </c>
      <c r="AL1946" s="5">
        <f>(T1946-W1946)/T1946</f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>(T1947-W1947)/T1947</f>
        <v>1</v>
      </c>
      <c r="Z1947" s="2" t="s">
        <v>120</v>
      </c>
      <c r="AA1947" s="2" t="s">
        <v>493</v>
      </c>
      <c r="AF1947" s="2">
        <f>AJ1947</f>
        <v>0</v>
      </c>
      <c r="AJ1947" s="2">
        <f>AI1947*T1947</f>
        <v>0</v>
      </c>
      <c r="AK1947" s="2">
        <f>T1947-W1947</f>
        <v>664.04</v>
      </c>
      <c r="AL1947" s="5">
        <f>(T1947-W1947)/T1947</f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>(T1948-W1948)/T1948</f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>AJ1948</f>
        <v>0</v>
      </c>
      <c r="AG1948" s="2">
        <f>98.28+7.82</f>
        <v>106.1</v>
      </c>
      <c r="AJ1948" s="2">
        <f>AI1948*T1948</f>
        <v>0</v>
      </c>
      <c r="AK1948" s="2">
        <f>T1948-W1948</f>
        <v>93.9</v>
      </c>
      <c r="AL1948" s="5">
        <f>(T1948-W1948)/T1948</f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>(T1949-W1949)/T1949</f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>AJ1949</f>
        <v>0</v>
      </c>
      <c r="AG1949" s="2">
        <v>122.446</v>
      </c>
      <c r="AH1949" s="2">
        <v>230</v>
      </c>
      <c r="AJ1949" s="2">
        <f>AI1949*T1949</f>
        <v>0</v>
      </c>
      <c r="AK1949" s="2">
        <f>T1949-W1949</f>
        <v>107.554</v>
      </c>
      <c r="AL1949" s="5">
        <f>(T1949-W1949)/T1949</f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>(T1950-W1950)/T1950</f>
        <v>0.23333333333333334</v>
      </c>
      <c r="Z1950" s="2" t="s">
        <v>170</v>
      </c>
      <c r="AA1950" s="2" t="s">
        <v>170</v>
      </c>
      <c r="AF1950" s="2">
        <f>AJ1950</f>
        <v>0</v>
      </c>
      <c r="AJ1950" s="2">
        <f>AI1950*T1950</f>
        <v>0</v>
      </c>
      <c r="AK1950" s="2">
        <f>T1950-W1950</f>
        <v>7</v>
      </c>
      <c r="AL1950" s="5">
        <f>(T1950-W1950)/T1950</f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>(T1951-W1951)/T1951</f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>AJ1951</f>
        <v>0</v>
      </c>
      <c r="AJ1951" s="2">
        <f>AI1951*T1951</f>
        <v>0</v>
      </c>
      <c r="AK1951" s="2">
        <f>T1951-W1951</f>
        <v>0</v>
      </c>
      <c r="AL1951" s="5">
        <f>(T1951-W1951)/T1951</f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E1952" s="2" t="s">
        <v>109</v>
      </c>
      <c r="F1952" s="2" t="s">
        <v>39</v>
      </c>
      <c r="L1952" s="2" t="s">
        <v>100</v>
      </c>
      <c r="M1952" s="2" t="s">
        <v>41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>(T1952-W1952)/T1952</f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>AJ1952</f>
        <v>0</v>
      </c>
      <c r="AG1952" s="2">
        <v>15.020300000000001</v>
      </c>
      <c r="AH1952" s="2">
        <v>27.6</v>
      </c>
      <c r="AJ1952" s="2">
        <f>AI1952*T1952</f>
        <v>0</v>
      </c>
      <c r="AK1952" s="2">
        <f>T1952-W1952</f>
        <v>13.959399999999999</v>
      </c>
      <c r="AL1952" s="5">
        <f>(T1952-W1952)/T1952</f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>(T1953-W1953)/T1953</f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>AJ1953</f>
        <v>0</v>
      </c>
      <c r="AG1953" s="2">
        <v>6.6266999999999996</v>
      </c>
      <c r="AH1953" s="2">
        <v>12</v>
      </c>
      <c r="AJ1953" s="2">
        <f>AI1953*T1953</f>
        <v>0</v>
      </c>
      <c r="AK1953" s="2">
        <f>T1953-W1953</f>
        <v>5.3733000000000004</v>
      </c>
      <c r="AL1953" s="5">
        <f>(T1953-W1953)/T1953</f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>(T1954-W1954)/T1954</f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>AJ1954</f>
        <v>0</v>
      </c>
      <c r="AG1954" s="2">
        <v>5.2972999999999999</v>
      </c>
      <c r="AH1954" s="2">
        <v>10.8</v>
      </c>
      <c r="AJ1954" s="2">
        <f>AI1954*T1954</f>
        <v>0</v>
      </c>
      <c r="AK1954" s="2">
        <f>T1954-W1954</f>
        <v>8.6053999999999995</v>
      </c>
      <c r="AL1954" s="5">
        <f>(T1954-W1954)/T1954</f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>(T1955-W1955)/T1955</f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>AJ1955</f>
        <v>0</v>
      </c>
      <c r="AJ1955" s="2">
        <f>AI1955*T1955</f>
        <v>0</v>
      </c>
      <c r="AK1955" s="2">
        <f>T1955-W1955</f>
        <v>625.75549999999998</v>
      </c>
      <c r="AL1955" s="5">
        <f>(T1955-W1955)/T1955</f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>(T1956-W1956)/T1956</f>
        <v>1</v>
      </c>
      <c r="Z1956" s="2" t="s">
        <v>118</v>
      </c>
      <c r="AF1956" s="2">
        <f>AJ1956</f>
        <v>0</v>
      </c>
      <c r="AJ1956" s="2">
        <f>AI1956*T1956</f>
        <v>0</v>
      </c>
      <c r="AK1956" s="2">
        <f>T1956-W1956</f>
        <v>523.41999999999996</v>
      </c>
      <c r="AL1956" s="5">
        <f>(T1956-W1956)/T1956</f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>(T1957-W1957)/T1957</f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>AJ1957</f>
        <v>0</v>
      </c>
      <c r="AJ1957" s="2">
        <f>AI1957*T1957</f>
        <v>0</v>
      </c>
      <c r="AK1957" s="2">
        <f>T1957-W1957</f>
        <v>31.200000000000017</v>
      </c>
      <c r="AL1957" s="5">
        <f>(T1957-W1957)/T1957</f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>(T1958-W1958)/T1958</f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>AJ1958</f>
        <v>0</v>
      </c>
      <c r="AJ1958" s="2">
        <f>AI1958*T1958</f>
        <v>0</v>
      </c>
      <c r="AK1958" s="2">
        <f>T1958-W1958</f>
        <v>20.800000000000011</v>
      </c>
      <c r="AL1958" s="5">
        <f>(T1958-W1958)/T1958</f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>(T1959-W1959)/T1959</f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>AJ1959</f>
        <v>0</v>
      </c>
      <c r="AG1959" s="2">
        <v>8.1999999999999993</v>
      </c>
      <c r="AH1959" s="2">
        <v>13</v>
      </c>
      <c r="AJ1959" s="2">
        <f>AI1959*T1959</f>
        <v>0</v>
      </c>
      <c r="AK1959" s="2">
        <f>T1959-W1959</f>
        <v>23</v>
      </c>
      <c r="AL1959" s="5">
        <f>(T1959-W1959)/T1959</f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>(T1960-W1960)/T1960</f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>AJ1960</f>
        <v>0</v>
      </c>
      <c r="AG1960" s="2">
        <v>120.636</v>
      </c>
      <c r="AH1960" s="2">
        <v>220</v>
      </c>
      <c r="AJ1960" s="2">
        <f>AI1960*T1960</f>
        <v>0</v>
      </c>
      <c r="AK1960" s="2">
        <f>T1960-W1960</f>
        <v>99.244</v>
      </c>
      <c r="AL1960" s="5">
        <f>(T1960-W1960)/T1960</f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>AJ1961</f>
        <v>0</v>
      </c>
      <c r="AJ1961" s="2">
        <f>AI1961*T1961</f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>(T1962-W1962)/T1962</f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>AJ1962</f>
        <v>0</v>
      </c>
      <c r="AJ1962" s="2">
        <f>AI1962*T1962</f>
        <v>0</v>
      </c>
      <c r="AK1962" s="2">
        <f>T1962-W1962</f>
        <v>0</v>
      </c>
      <c r="AL1962" s="5">
        <f>(T1962-W1962)/T1962</f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>(T1963-W1963)/T1963</f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>AJ1963</f>
        <v>0</v>
      </c>
      <c r="AJ1963" s="2">
        <f>AI1963*T1963</f>
        <v>0</v>
      </c>
      <c r="AK1963" s="2">
        <f>T1963-W1963</f>
        <v>256.65999999999997</v>
      </c>
      <c r="AL1963" s="5">
        <f>(T1963-W1963)/T1963</f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>(T1964-W1964)/T1964</f>
        <v>0.08</v>
      </c>
      <c r="Z1964" s="2" t="s">
        <v>170</v>
      </c>
      <c r="AA1964" s="2" t="s">
        <v>170</v>
      </c>
      <c r="AF1964" s="2">
        <f>AJ1964</f>
        <v>0</v>
      </c>
      <c r="AJ1964" s="2">
        <f>AI1964*T1964</f>
        <v>0</v>
      </c>
      <c r="AK1964" s="2">
        <f>T1964-W1964</f>
        <v>2</v>
      </c>
      <c r="AL1964" s="5">
        <f>(T1964-W1964)/T1964</f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>(T1965-W1965)/T1965</f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>AJ1965</f>
        <v>0</v>
      </c>
      <c r="AJ1965" s="2">
        <f>AI1965*T1965</f>
        <v>0</v>
      </c>
      <c r="AK1965" s="2">
        <f>T1965-W1965</f>
        <v>2649.0299999999988</v>
      </c>
      <c r="AL1965" s="5">
        <f>(T1965-W1965)/T1965</f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>(T1966-W1966)/T1966</f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>AJ1966</f>
        <v>0</v>
      </c>
      <c r="AG1966" s="2">
        <f>19501.14+492.45</f>
        <v>19993.59</v>
      </c>
      <c r="AJ1966" s="2">
        <f>AI1966*T1966</f>
        <v>0</v>
      </c>
      <c r="AK1966" s="2">
        <f>T1966-W1966</f>
        <v>1006.8199999999997</v>
      </c>
      <c r="AL1966" s="5">
        <f>(T1966-W1966)/T1966</f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>(T1967-W1967)/T1967</f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>AJ1967</f>
        <v>0</v>
      </c>
      <c r="AG1967" s="2">
        <v>1990</v>
      </c>
      <c r="AJ1967" s="2">
        <f>AI1967*T1967</f>
        <v>0</v>
      </c>
      <c r="AK1967" s="2">
        <f>T1967-W1967</f>
        <v>509</v>
      </c>
      <c r="AL1967" s="5">
        <f>(T1967-W1967)/T1967</f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>(T1968-W1968)/T1968</f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>AJ1968</f>
        <v>0</v>
      </c>
      <c r="AG1968" s="2">
        <v>71.94</v>
      </c>
      <c r="AJ1968" s="2">
        <f>AI1968*T1968</f>
        <v>0</v>
      </c>
      <c r="AK1968" s="2">
        <f>T1968-W1968</f>
        <v>28.060000000000002</v>
      </c>
      <c r="AL1968" s="5">
        <f>(T1968-W1968)/T1968</f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>(T1969-W1969)/T1969</f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>AJ1969</f>
        <v>0</v>
      </c>
      <c r="AJ1969" s="2">
        <f>AI1969*T1969</f>
        <v>0</v>
      </c>
      <c r="AK1969" s="2">
        <f>T1969-W1969</f>
        <v>102.93200000000002</v>
      </c>
      <c r="AL1969" s="5">
        <f>(T1969-W1969)/T1969</f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>(T1970-W1970)/T1970</f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>AJ1970</f>
        <v>0</v>
      </c>
      <c r="AJ1970" s="2">
        <f>AI1970*T1970</f>
        <v>0</v>
      </c>
      <c r="AK1970" s="2">
        <f>T1970-W1970</f>
        <v>107.08000000000004</v>
      </c>
      <c r="AL1970" s="5">
        <f>(T1970-W1970)/T1970</f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>(T1971-W1971)/T1971</f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>AJ1971</f>
        <v>0</v>
      </c>
      <c r="AJ1971" s="2">
        <f>AI1971*T1971</f>
        <v>0</v>
      </c>
      <c r="AK1971" s="2">
        <f>T1971-W1971</f>
        <v>83.739599999999996</v>
      </c>
      <c r="AL1971" s="5">
        <f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>(T1972-W1972)/T1972</f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>AJ1972</f>
        <v>0</v>
      </c>
      <c r="AJ1972" s="2">
        <f>AI1972*T1972</f>
        <v>0</v>
      </c>
      <c r="AK1972" s="2">
        <f>T1972-W1972</f>
        <v>55.95999999999998</v>
      </c>
      <c r="AL1972" s="5">
        <f>(T1972-W1972)/T1972</f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>(T1973-W1973)/T1973</f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>AJ1973</f>
        <v>0</v>
      </c>
      <c r="AJ1973" s="2">
        <f>AI1973*T1973</f>
        <v>0</v>
      </c>
      <c r="AK1973" s="2">
        <f>T1973-W1973</f>
        <v>55.95999999999998</v>
      </c>
      <c r="AL1973" s="5">
        <f>(T1973-W1973)/T1973</f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>(T1974-W1974)/T1974</f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>AJ1974</f>
        <v>0</v>
      </c>
      <c r="AJ1974" s="2">
        <f>AI1974*T1974</f>
        <v>0</v>
      </c>
      <c r="AK1974" s="2">
        <f>T1974-W1974</f>
        <v>55.95999999999998</v>
      </c>
      <c r="AL1974" s="5">
        <f>(T1974-W1974)/T1974</f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>(T1975-W1975)/T1975</f>
        <v>1</v>
      </c>
      <c r="Z1975" s="2" t="s">
        <v>170</v>
      </c>
      <c r="AA1975" s="2" t="s">
        <v>170</v>
      </c>
      <c r="AF1975" s="2">
        <f>AJ1975</f>
        <v>0</v>
      </c>
      <c r="AJ1975" s="2">
        <f>AI1975*T1975</f>
        <v>0</v>
      </c>
      <c r="AK1975" s="2">
        <f>T1975-W1975</f>
        <v>115</v>
      </c>
      <c r="AL1975" s="5">
        <f>(T1975-W1975)/T1975</f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>(T1976-W1976)/T1976</f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>AJ1976</f>
        <v>0</v>
      </c>
      <c r="AJ1976" s="2">
        <f>AI1976*T1976</f>
        <v>0</v>
      </c>
      <c r="AK1976" s="2">
        <f>T1976-W1976</f>
        <v>152.41</v>
      </c>
      <c r="AL1976" s="5">
        <f>(T1976-W1976)/T1976</f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>(T1977-W1977)/T1977</f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>AJ1977</f>
        <v>0</v>
      </c>
      <c r="AG1977" s="2">
        <v>130.08000000000001</v>
      </c>
      <c r="AJ1977" s="2">
        <f>AI1977*T1977</f>
        <v>0</v>
      </c>
      <c r="AK1977" s="2">
        <f>T1977-W1977</f>
        <v>187</v>
      </c>
      <c r="AL1977" s="5">
        <f>(T1977-W1977)/T1977</f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>(T1978-W1978)/T1978</f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>AJ1978</f>
        <v>0</v>
      </c>
      <c r="AG1978" s="2">
        <v>134.85</v>
      </c>
      <c r="AJ1978" s="2">
        <f>AI1978*T1978</f>
        <v>0</v>
      </c>
      <c r="AK1978" s="2">
        <f>T1978-W1978</f>
        <v>177.45</v>
      </c>
      <c r="AL1978" s="5">
        <f>(T1978-W1978)/T1978</f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>(T1979-W1979)/T1979</f>
        <v>1</v>
      </c>
      <c r="Z1979" s="2" t="s">
        <v>118</v>
      </c>
      <c r="AF1979" s="2">
        <f>AJ1979</f>
        <v>0</v>
      </c>
      <c r="AJ1979" s="2">
        <f>AI1979*T1979</f>
        <v>0</v>
      </c>
      <c r="AK1979" s="2">
        <f>T1979-W1979</f>
        <v>91.11</v>
      </c>
      <c r="AL1979" s="5">
        <f>(T1979-W1979)/T1979</f>
        <v>1</v>
      </c>
    </row>
    <row r="1980" spans="1:38" x14ac:dyDescent="0.2">
      <c r="A1980" s="2">
        <v>2025</v>
      </c>
      <c r="B1980" s="2">
        <v>10</v>
      </c>
      <c r="C1980" s="2" t="s">
        <v>3417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>(T1980-W1980)/T1980</f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>AJ1980</f>
        <v>0</v>
      </c>
      <c r="AJ1980" s="2">
        <f>AI1980*T1980</f>
        <v>0</v>
      </c>
      <c r="AK1980" s="2">
        <f>T1980-W1980</f>
        <v>-3.1999999999999993</v>
      </c>
      <c r="AL1980" s="5">
        <f>(T1980-W1980)/T1980</f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>(T1981-W1981)/T1981</f>
        <v>1</v>
      </c>
      <c r="Z1981" s="2" t="s">
        <v>170</v>
      </c>
      <c r="AA1981" s="2" t="s">
        <v>170</v>
      </c>
      <c r="AF1981" s="2">
        <f>AJ1981</f>
        <v>0</v>
      </c>
      <c r="AJ1981" s="2">
        <f>AI1981*T1981</f>
        <v>0</v>
      </c>
      <c r="AK1981" s="2">
        <f>T1981-W1981</f>
        <v>8.5</v>
      </c>
      <c r="AL1981" s="5">
        <f>(T1981-W1981)/T1981</f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>(T1982-W1982)/T1982</f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>AJ1982</f>
        <v>0</v>
      </c>
      <c r="AG1982" s="2">
        <v>117.453</v>
      </c>
      <c r="AH1982" s="2">
        <v>220</v>
      </c>
      <c r="AJ1982" s="2">
        <f>AI1982*T1982</f>
        <v>0</v>
      </c>
      <c r="AK1982" s="2">
        <f>T1982-W1982</f>
        <v>102.547</v>
      </c>
      <c r="AL1982" s="5">
        <f>(T1982-W1982)/T1982</f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>(T1983-W1983)/T1983</f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>AJ1983</f>
        <v>0</v>
      </c>
      <c r="AJ1983" s="2">
        <f>AI1983*T1983</f>
        <v>0</v>
      </c>
      <c r="AK1983" s="2">
        <f>T1983-W1983</f>
        <v>0</v>
      </c>
      <c r="AL1983" s="5">
        <f>(T1983-W1983)/T1983</f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>(T1984-W1984)/T1984</f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>AJ1984</f>
        <v>0</v>
      </c>
      <c r="AJ1984" s="2">
        <f>AI1984*T1984</f>
        <v>0</v>
      </c>
      <c r="AK1984" s="2">
        <f>T1984-W1984</f>
        <v>27.6</v>
      </c>
      <c r="AL1984" s="5">
        <f>(T1984-W1984)/T1984</f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>(T1985-W1985)/T1985</f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>AJ1985</f>
        <v>0</v>
      </c>
      <c r="AG1985" s="2">
        <v>3.7555999999999998</v>
      </c>
      <c r="AH1985" s="2">
        <v>7.2</v>
      </c>
      <c r="AJ1985" s="2">
        <f>AI1985*T1985</f>
        <v>0</v>
      </c>
      <c r="AK1985" s="2">
        <f>T1985-W1985</f>
        <v>56.888000000000005</v>
      </c>
      <c r="AL1985" s="5">
        <f>(T1985-W1985)/T1985</f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>(T1986-W1986)/T1986</f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>AJ1986</f>
        <v>0</v>
      </c>
      <c r="AG1986" s="2">
        <v>0.85609999999999997</v>
      </c>
      <c r="AH1986" s="2">
        <v>1.8</v>
      </c>
      <c r="AJ1986" s="2">
        <f>AI1986*T1986</f>
        <v>0</v>
      </c>
      <c r="AK1986" s="2">
        <f>T1986-W1986</f>
        <v>37.756</v>
      </c>
      <c r="AL1986" s="5">
        <f>(T1986-W1986)/T1986</f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>(T1987-W1987)/T1987</f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>AJ1987</f>
        <v>0</v>
      </c>
      <c r="AG1987" s="2">
        <v>1.1122000000000001</v>
      </c>
      <c r="AH1987" s="2">
        <v>3</v>
      </c>
      <c r="AJ1987" s="2">
        <f>AI1987*T1987</f>
        <v>0</v>
      </c>
      <c r="AK1987" s="2">
        <f>T1987-W1987</f>
        <v>37.756</v>
      </c>
      <c r="AL1987" s="5">
        <f>(T1987-W1987)/T1987</f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>(T1988-W1988)/T1988</f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>AJ1988</f>
        <v>0</v>
      </c>
      <c r="AG1988" s="2">
        <v>1.4114</v>
      </c>
      <c r="AH1988" s="2">
        <v>3</v>
      </c>
      <c r="AJ1988" s="2">
        <f>AI1988*T1988</f>
        <v>0</v>
      </c>
      <c r="AK1988" s="2">
        <f>T1988-W1988</f>
        <v>39.543999999999997</v>
      </c>
      <c r="AL1988" s="5">
        <f>(T1988-W1988)/T1988</f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>(T1989-W1989)/T1989</f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>AJ1989</f>
        <v>0</v>
      </c>
      <c r="AG1989" s="2">
        <v>15.020300000000001</v>
      </c>
      <c r="AH1989" s="2">
        <v>27.6</v>
      </c>
      <c r="AJ1989" s="2">
        <f>AI1989*T1989</f>
        <v>0</v>
      </c>
      <c r="AK1989" s="2">
        <f>T1989-W1989</f>
        <v>13.959399999999999</v>
      </c>
      <c r="AL1989" s="5">
        <f>(T1989-W1989)/T1989</f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1103</v>
      </c>
      <c r="J1990" s="2" t="s">
        <v>1104</v>
      </c>
      <c r="L1990" s="2" t="s">
        <v>178</v>
      </c>
      <c r="M1990" s="2" t="s">
        <v>41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>(T1990-W1990)/T1990</f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>AJ1990</f>
        <v>0</v>
      </c>
      <c r="AJ1990" s="2">
        <f>AI1990*T1990</f>
        <v>0</v>
      </c>
      <c r="AK1990" s="2">
        <f>T1990-W1990</f>
        <v>18.704999999999998</v>
      </c>
      <c r="AL1990" s="5">
        <f>(T1990-W1990)/T1990</f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1103</v>
      </c>
      <c r="J1991" s="2" t="s">
        <v>1104</v>
      </c>
      <c r="L1991" s="2" t="s">
        <v>178</v>
      </c>
      <c r="M1991" s="2" t="s">
        <v>41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>(T1991-W1991)/T1991</f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>AJ1991</f>
        <v>0</v>
      </c>
      <c r="AG1991" s="2">
        <v>10.2346</v>
      </c>
      <c r="AH1991" s="2">
        <v>18</v>
      </c>
      <c r="AJ1991" s="2">
        <f>AI1991*T1991</f>
        <v>0</v>
      </c>
      <c r="AK1991" s="2">
        <f>T1991-W1991</f>
        <v>4.7999999999999989</v>
      </c>
      <c r="AL1991" s="5">
        <f>(T1991-W1991)/T1991</f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1103</v>
      </c>
      <c r="J1992" s="2" t="s">
        <v>1104</v>
      </c>
      <c r="L1992" s="2" t="s">
        <v>178</v>
      </c>
      <c r="M1992" s="2" t="s">
        <v>41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>(T1992-W1992)/T1992</f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>AJ1992</f>
        <v>0</v>
      </c>
      <c r="AG1992" s="2">
        <v>9.14</v>
      </c>
      <c r="AH1992" s="2">
        <v>16</v>
      </c>
      <c r="AJ1992" s="2">
        <f>AI1992*T1992</f>
        <v>0</v>
      </c>
      <c r="AK1992" s="2">
        <f>T1992-W1992</f>
        <v>4.8600000000000012</v>
      </c>
      <c r="AL1992" s="5">
        <f>(T1992-W1992)/T1992</f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1103</v>
      </c>
      <c r="J1993" s="2" t="s">
        <v>1104</v>
      </c>
      <c r="L1993" s="2" t="s">
        <v>178</v>
      </c>
      <c r="M1993" s="2" t="s">
        <v>41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>(T1993-W1993)/T1993</f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>AJ1993</f>
        <v>0</v>
      </c>
      <c r="AG1993" s="2">
        <v>8.1999999999999993</v>
      </c>
      <c r="AH1993" s="2">
        <v>13</v>
      </c>
      <c r="AJ1993" s="2">
        <f>AI1993*T1993</f>
        <v>0</v>
      </c>
      <c r="AK1993" s="2">
        <f>T1993-W1993</f>
        <v>27.599999999999994</v>
      </c>
      <c r="AL1993" s="5">
        <f>(T1993-W1993)/T1993</f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>(T1994-W1994)/T1994</f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>AJ1994</f>
        <v>0</v>
      </c>
      <c r="AJ1994" s="2">
        <f>AI1994*T1994</f>
        <v>0</v>
      </c>
      <c r="AK1994" s="2">
        <f>T1994-W1994</f>
        <v>3847.6899999999996</v>
      </c>
      <c r="AL1994" s="5">
        <f>(T1994-W1994)/T1994</f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>(T1995-W1995)/T1995</f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>AJ1995</f>
        <v>0</v>
      </c>
      <c r="AG1995" s="2">
        <v>15.020300000000001</v>
      </c>
      <c r="AH1995" s="2">
        <v>27.6</v>
      </c>
      <c r="AJ1995" s="2">
        <f>AI1995*T1995</f>
        <v>0</v>
      </c>
      <c r="AK1995" s="2">
        <f>T1995-W1995</f>
        <v>55.837599999999995</v>
      </c>
      <c r="AL1995" s="5">
        <f>(T1995-W1995)/T1995</f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>(T1996-W1996)/T1996</f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>AJ1996</f>
        <v>0</v>
      </c>
      <c r="AG1996" s="2">
        <v>7.2217000000000002</v>
      </c>
      <c r="AH1996" s="2">
        <v>14.4</v>
      </c>
      <c r="AJ1996" s="2">
        <f>AI1996*T1996</f>
        <v>0</v>
      </c>
      <c r="AK1996" s="2">
        <f>T1996-W1996</f>
        <v>5.9782999999999991</v>
      </c>
      <c r="AL1996" s="5">
        <f>(T1996-W1996)/T1996</f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>(T1997-W1997)/T1997</f>
        <v>0.43663541666666661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>AJ1997</f>
        <v>0</v>
      </c>
      <c r="AJ1997" s="2">
        <f>AI1997*T1997</f>
        <v>0</v>
      </c>
      <c r="AK1997" s="2">
        <f>T1997-W1997</f>
        <v>12.575099999999999</v>
      </c>
      <c r="AL1997" s="5">
        <f>(T1997-W1997)/T1997</f>
        <v>0.43663541666666661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>(T1998-W1998)/T1998</f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>AJ1998</f>
        <v>0</v>
      </c>
      <c r="AG1998" s="2">
        <v>10.6</v>
      </c>
      <c r="AH1998" s="2">
        <v>18</v>
      </c>
      <c r="AJ1998" s="2">
        <f>AI1998*T1998</f>
        <v>0</v>
      </c>
      <c r="AK1998" s="2">
        <f>T1998-W1998</f>
        <v>7.4</v>
      </c>
      <c r="AL1998" s="5">
        <f>(T1998-W1998)/T1998</f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>(T1999-W1999)/T1999</f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>AJ1999</f>
        <v>0</v>
      </c>
      <c r="AG1999" s="2">
        <v>8.1999999999999993</v>
      </c>
      <c r="AH1999" s="2">
        <v>13</v>
      </c>
      <c r="AJ1999" s="2">
        <f>AI1999*T1999</f>
        <v>0</v>
      </c>
      <c r="AK1999" s="2">
        <f>T1999-W1999</f>
        <v>4.7999999999999989</v>
      </c>
      <c r="AL1999" s="5">
        <f>(T1999-W1999)/T1999</f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>(T2000-W2000)/T2000</f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>AJ2000</f>
        <v>0</v>
      </c>
      <c r="AJ2000" s="2">
        <f>AI2000*T2000</f>
        <v>0</v>
      </c>
      <c r="AK2000" s="2">
        <f>T2000-W2000</f>
        <v>273.13</v>
      </c>
      <c r="AL2000" s="5">
        <f>(T2000-W2000)/T2000</f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>(T2001-W2001)/T2001</f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>AJ2001</f>
        <v>0</v>
      </c>
      <c r="AJ2001" s="2">
        <f>AI2001*T2001</f>
        <v>0</v>
      </c>
      <c r="AK2001" s="2">
        <f>T2001-W2001</f>
        <v>125.72</v>
      </c>
      <c r="AL2001" s="5">
        <f>(T2001-W2001)/T2001</f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>AJ2002</f>
        <v>0</v>
      </c>
      <c r="AJ2002" s="2">
        <f>AI2002*T2002</f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>AJ2003</f>
        <v>0</v>
      </c>
      <c r="AG2003" s="2">
        <v>111.98</v>
      </c>
      <c r="AH2003" s="2">
        <v>210</v>
      </c>
      <c r="AJ2003" s="2">
        <f>AI2003*T2003</f>
        <v>0</v>
      </c>
      <c r="AK2003" s="2">
        <f>T2003-W2003</f>
        <v>91.719999999999985</v>
      </c>
      <c r="AL2003" s="5">
        <f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>(T2004-W2004)/T2004</f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>AJ2004</f>
        <v>0</v>
      </c>
      <c r="AJ2004" s="2">
        <f>AI2004*T2004</f>
        <v>0</v>
      </c>
      <c r="AK2004" s="2">
        <f>T2004-W2004</f>
        <v>93.00500000000001</v>
      </c>
      <c r="AL2004" s="5">
        <f>(T2004-W2004)/T2004</f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>(T2005-W2005)/T2005</f>
        <v>0.23333333333333334</v>
      </c>
      <c r="Z2005" s="2" t="s">
        <v>170</v>
      </c>
      <c r="AA2005" s="2" t="s">
        <v>170</v>
      </c>
      <c r="AF2005" s="2">
        <f>AJ2005</f>
        <v>0</v>
      </c>
      <c r="AJ2005" s="2">
        <f>AI2005*T2005</f>
        <v>0</v>
      </c>
      <c r="AK2005" s="2">
        <f>T2005-W2005</f>
        <v>7</v>
      </c>
      <c r="AL2005" s="5">
        <f>(T2005-W2005)/T2005</f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>(T2006-W2006)/T2006</f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>AJ2006</f>
        <v>0</v>
      </c>
      <c r="AJ2006" s="2">
        <f>AI2006*T2006</f>
        <v>0</v>
      </c>
      <c r="AK2006" s="2">
        <f>T2006-W2006</f>
        <v>0</v>
      </c>
      <c r="AL2006" s="5">
        <f>(T2006-W2006)/T2006</f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>(T2007-W2007)/T2007</f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>AJ2007</f>
        <v>0</v>
      </c>
      <c r="AJ2007" s="2">
        <f>AI2007*T2007</f>
        <v>0</v>
      </c>
      <c r="AK2007" s="2">
        <f>T2007-W2007</f>
        <v>26</v>
      </c>
      <c r="AL2007" s="5">
        <f>(T2007-W2007)/T2007</f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M2008" s="2" t="s">
        <v>41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>(T2008-W2008)/T2008</f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>AJ2008</f>
        <v>0</v>
      </c>
      <c r="AJ2008" s="2">
        <f>AI2008*T2008</f>
        <v>0</v>
      </c>
      <c r="AK2008" s="2">
        <f>T2008-W2008</f>
        <v>26</v>
      </c>
      <c r="AL2008" s="5">
        <f>(T2008-W2008)/T2008</f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>(T2009-W2009)/T2009</f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>AJ2009</f>
        <v>0</v>
      </c>
      <c r="AJ2009" s="2">
        <f>AI2009*T2009</f>
        <v>0</v>
      </c>
      <c r="AK2009" s="2">
        <f>T2009-W2009</f>
        <v>8.0799999999999983</v>
      </c>
      <c r="AL2009" s="5">
        <f>(T2009-W2009)/T2009</f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>(T2010-W2010)/T2010</f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>AJ2010</f>
        <v>0</v>
      </c>
      <c r="AJ2010" s="2">
        <f>AI2010*T2010</f>
        <v>0</v>
      </c>
      <c r="AK2010" s="2">
        <f>T2010-W2010</f>
        <v>120.4966</v>
      </c>
      <c r="AL2010" s="5">
        <f>(T2010-W2010)/T2010</f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>(T2011-W2011)/T2011</f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>AJ2011</f>
        <v>0</v>
      </c>
      <c r="AG2011" s="2">
        <v>117.453</v>
      </c>
      <c r="AH2011" s="2">
        <v>220</v>
      </c>
      <c r="AJ2011" s="2">
        <f>AI2011*T2011</f>
        <v>0</v>
      </c>
      <c r="AK2011" s="2">
        <f>T2011-W2011</f>
        <v>102.547</v>
      </c>
      <c r="AL2011" s="5">
        <f>(T2011-W2011)/T2011</f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>(T2012-W2012)/T2012</f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>AJ2012</f>
        <v>0</v>
      </c>
      <c r="AJ2012" s="2">
        <f>AI2012*T2012</f>
        <v>0</v>
      </c>
      <c r="AK2012" s="2">
        <f>T2012-W2012</f>
        <v>0</v>
      </c>
      <c r="AL2012" s="5">
        <f>(T2012-W2012)/T2012</f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>(T2013-W2013)/T2013</f>
        <v>1</v>
      </c>
      <c r="Z2013" s="2" t="s">
        <v>118</v>
      </c>
      <c r="AF2013" s="2">
        <f>AJ2013</f>
        <v>0</v>
      </c>
      <c r="AJ2013" s="2">
        <f>AI2013*T2013</f>
        <v>0</v>
      </c>
      <c r="AK2013" s="2">
        <f>T2013-W2013</f>
        <v>76.67</v>
      </c>
      <c r="AL2013" s="5">
        <f>(T2013-W2013)/T2013</f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>(T2014-W2014)/T2014</f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>AJ2014</f>
        <v>0</v>
      </c>
      <c r="AJ2014" s="2">
        <f>AI2014*T2014</f>
        <v>0</v>
      </c>
      <c r="AK2014" s="2">
        <f>T2014-W2014</f>
        <v>505.65999999999997</v>
      </c>
      <c r="AL2014" s="5">
        <f>(T2014-W2014)/T2014</f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>AJ2015</f>
        <v>0</v>
      </c>
      <c r="AJ2015" s="2">
        <f>AI2015*T2015</f>
        <v>0</v>
      </c>
      <c r="AK2015" s="2">
        <f>T2015-W2015</f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>(T2016-W2016)/T2016</f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>AJ2016</f>
        <v>0</v>
      </c>
      <c r="AJ2016" s="2">
        <f>AI2016*T2016</f>
        <v>0</v>
      </c>
      <c r="AK2016" s="2">
        <f>T2016-W2016</f>
        <v>25</v>
      </c>
      <c r="AL2016" s="5">
        <f>(T2016-W2016)/T2016</f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>(T2017-W2017)/T2017</f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>AJ2017</f>
        <v>0</v>
      </c>
      <c r="AJ2017" s="2">
        <f>AI2017*T2017</f>
        <v>0</v>
      </c>
      <c r="AK2017" s="2">
        <f>T2017-W2017</f>
        <v>354.09659999999997</v>
      </c>
      <c r="AL2017" s="5">
        <f>(T2017-W2017)/T2017</f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>(T2018-W2018)/T2018</f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>AJ2018</f>
        <v>0</v>
      </c>
      <c r="AJ2018" s="2">
        <f>AI2018*T2018</f>
        <v>0</v>
      </c>
      <c r="AK2018" s="2">
        <f>T2018-W2018</f>
        <v>96.6</v>
      </c>
      <c r="AL2018" s="5">
        <f>(T2018-W2018)/T2018</f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>(T2019-W2019)/T2019</f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>AJ2019</f>
        <v>0</v>
      </c>
      <c r="AJ2019" s="2">
        <f>AI2019*T2019</f>
        <v>0</v>
      </c>
      <c r="AK2019" s="2">
        <f>T2019-W2019</f>
        <v>18.75</v>
      </c>
      <c r="AL2019" s="5">
        <f>(T2019-W2019)/T2019</f>
        <v>0.5</v>
      </c>
    </row>
    <row r="2020" spans="1:38" x14ac:dyDescent="0.2">
      <c r="A2020" s="2">
        <v>2025</v>
      </c>
      <c r="B2020" s="2">
        <v>10</v>
      </c>
      <c r="C2020" s="2" t="s">
        <v>3415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>(T2020-W2020)/T2020</f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>AJ2020</f>
        <v>0</v>
      </c>
      <c r="AJ2020" s="2">
        <f>AI2020*T2020</f>
        <v>0</v>
      </c>
      <c r="AK2020" s="2">
        <f>T2020-W2020</f>
        <v>59.258999999999986</v>
      </c>
      <c r="AL2020" s="5">
        <f>(T2020-W2020)/T2020</f>
        <v>0.45360532761788114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>(T2021-W2021)/T2021</f>
        <v>1</v>
      </c>
      <c r="Z2021" s="2" t="s">
        <v>118</v>
      </c>
      <c r="AF2021" s="2">
        <f>AJ2021</f>
        <v>0</v>
      </c>
      <c r="AJ2021" s="2">
        <f>AI2021*T2021</f>
        <v>0</v>
      </c>
      <c r="AK2021" s="2">
        <f>T2021-W2021</f>
        <v>62.6</v>
      </c>
      <c r="AL2021" s="5">
        <f>(T2021-W2021)/T2021</f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>(T2022-W2022)/T2022</f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>AJ2022</f>
        <v>0</v>
      </c>
      <c r="AG2022" s="2">
        <v>10.6</v>
      </c>
      <c r="AH2022" s="2">
        <v>18</v>
      </c>
      <c r="AJ2022" s="2">
        <f>AI2022*T2022</f>
        <v>0</v>
      </c>
      <c r="AK2022" s="2">
        <f>T2022-W2022</f>
        <v>40.800000000000011</v>
      </c>
      <c r="AL2022" s="5">
        <f>(T2022-W2022)/T2022</f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>(T2023-W2023)/T2023</f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>AJ2023</f>
        <v>0</v>
      </c>
      <c r="AG2023" s="2">
        <v>8.1999999999999993</v>
      </c>
      <c r="AH2023" s="2">
        <v>13</v>
      </c>
      <c r="AJ2023" s="2">
        <f>AI2023*T2023</f>
        <v>0</v>
      </c>
      <c r="AK2023" s="2">
        <f>T2023-W2023</f>
        <v>4.7999999999999989</v>
      </c>
      <c r="AL2023" s="5">
        <f>(T2023-W2023)/T2023</f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>(T2024-W2024)/T2024</f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>AJ2024</f>
        <v>0</v>
      </c>
      <c r="AG2024" s="2">
        <f>318.86+13.52</f>
        <v>332.38</v>
      </c>
      <c r="AJ2024" s="2">
        <f>AI2024*T2024</f>
        <v>0</v>
      </c>
      <c r="AK2024" s="2">
        <f>T2024-W2024</f>
        <v>335.13</v>
      </c>
      <c r="AL2024" s="5">
        <f>(T2024-W2024)/T2024</f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>(T2025-W2025)/T2025</f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>AJ2025</f>
        <v>0</v>
      </c>
      <c r="AG2025" s="2">
        <f>182.2+7.72</f>
        <v>189.92</v>
      </c>
      <c r="AJ2025" s="2">
        <f>AI2025*T2025</f>
        <v>0</v>
      </c>
      <c r="AK2025" s="2">
        <f>T2025-W2025</f>
        <v>192.70000000000002</v>
      </c>
      <c r="AL2025" s="5">
        <f>(T2025-W2025)/T2025</f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>(T2026-W2026)/T2026</f>
        <v>1</v>
      </c>
      <c r="Z2026" s="2" t="s">
        <v>118</v>
      </c>
      <c r="AF2026" s="2">
        <f>AJ2026</f>
        <v>0</v>
      </c>
      <c r="AJ2026" s="2">
        <f>AI2026*T2026</f>
        <v>0</v>
      </c>
      <c r="AK2026" s="2">
        <f>T2026-W2026</f>
        <v>190</v>
      </c>
      <c r="AL2026" s="5">
        <f>(T2026-W2026)/T2026</f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>(T2027-W2027)/T2027</f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>AJ2027</f>
        <v>0</v>
      </c>
      <c r="AG2027" s="2">
        <v>117.453</v>
      </c>
      <c r="AH2027" s="2">
        <v>220</v>
      </c>
      <c r="AJ2027" s="2">
        <f>AI2027*T2027</f>
        <v>0</v>
      </c>
      <c r="AK2027" s="2">
        <f>T2027-W2027</f>
        <v>102.547</v>
      </c>
      <c r="AL2027" s="5">
        <f>(T2027-W2027)/T2027</f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>(T2028-W2028)/T2028</f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>AJ2028</f>
        <v>0</v>
      </c>
      <c r="AJ2028" s="2">
        <f>AI2028*T2028</f>
        <v>0</v>
      </c>
      <c r="AK2028" s="2">
        <f>T2028-W2028</f>
        <v>0</v>
      </c>
      <c r="AL2028" s="5">
        <f>(T2028-W2028)/T2028</f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>(T2029-W2029)/T2029</f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>AJ2029</f>
        <v>0</v>
      </c>
      <c r="AJ2029" s="2">
        <f>AI2029*T2029</f>
        <v>0</v>
      </c>
      <c r="AK2029" s="2">
        <f>T2029-W2029</f>
        <v>748.04</v>
      </c>
      <c r="AL2029" s="5">
        <f>(T2029-W2029)/T2029</f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>(T2030-W2030)/T2030</f>
        <v>#DIV/0!</v>
      </c>
      <c r="Z2030" s="2" t="s">
        <v>118</v>
      </c>
      <c r="AA2030" s="2" t="s">
        <v>1312</v>
      </c>
      <c r="AF2030" s="2">
        <f>AJ2030</f>
        <v>0</v>
      </c>
      <c r="AJ2030" s="2">
        <f>AI2030*T2030</f>
        <v>0</v>
      </c>
      <c r="AK2030" s="2">
        <f>T2030-W2030</f>
        <v>0</v>
      </c>
      <c r="AL2030" s="5" t="e">
        <f>(T2030-W2030)/T2030</f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>(T2031-W2031)/T2031</f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>AJ2031</f>
        <v>0</v>
      </c>
      <c r="AJ2031" s="2">
        <f>AI2031*T2031</f>
        <v>0</v>
      </c>
      <c r="AK2031" s="2">
        <f>T2031-W2031</f>
        <v>1.2850000000000001</v>
      </c>
      <c r="AL2031" s="5">
        <f>(T2031-W2031)/T2031</f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>(T2032-W2032)/T2032</f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>AJ2032</f>
        <v>0</v>
      </c>
      <c r="AJ2032" s="2">
        <f>AI2032*T2032</f>
        <v>0</v>
      </c>
      <c r="AK2032" s="2">
        <f>T2032-W2032</f>
        <v>5.2000000000000028</v>
      </c>
      <c r="AL2032" s="5">
        <f>(T2032-W2032)/T2032</f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>(T2033-W2033)/T2033</f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>AJ2033</f>
        <v>0</v>
      </c>
      <c r="AG2033" s="2">
        <v>10.6</v>
      </c>
      <c r="AH2033" s="2">
        <v>18</v>
      </c>
      <c r="AJ2033" s="2">
        <f>AI2033*T2033</f>
        <v>0</v>
      </c>
      <c r="AK2033" s="2">
        <f>T2033-W2033</f>
        <v>8.8000000000000007</v>
      </c>
      <c r="AL2033" s="5">
        <f>(T2033-W2033)/T2033</f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>(T2034-W2034)/T2034</f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>AJ2034</f>
        <v>0</v>
      </c>
      <c r="AG2034" s="2">
        <v>8.1999999999999993</v>
      </c>
      <c r="AH2034" s="2">
        <v>13</v>
      </c>
      <c r="AJ2034" s="2">
        <f>AI2034*T2034</f>
        <v>0</v>
      </c>
      <c r="AK2034" s="2">
        <f>T2034-W2034</f>
        <v>25.299999999999997</v>
      </c>
      <c r="AL2034" s="5">
        <f>(T2034-W2034)/T2034</f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>(T2035-W2035)/T2035</f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>AJ2035</f>
        <v>0</v>
      </c>
      <c r="AG2035" s="2">
        <v>1.8320000000000001</v>
      </c>
      <c r="AH2035" s="2">
        <v>2.4</v>
      </c>
      <c r="AJ2035" s="2">
        <f>AI2035*T2035</f>
        <v>0</v>
      </c>
      <c r="AK2035" s="2">
        <f>T2035-W2035</f>
        <v>3.1680000000000001</v>
      </c>
      <c r="AL2035" s="5">
        <f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>(T2036-W2036)/T2036</f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>AJ2036</f>
        <v>0</v>
      </c>
      <c r="AJ2036" s="2">
        <f>AI2036*T2036</f>
        <v>0</v>
      </c>
      <c r="AK2036" s="2">
        <f>T2036-W2036</f>
        <v>29</v>
      </c>
      <c r="AL2036" s="5">
        <f>(T2036-W2036)/T2036</f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>(T2037-W2037)/T2037</f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>AJ2037</f>
        <v>0</v>
      </c>
      <c r="AG2037" s="2">
        <v>131.93</v>
      </c>
      <c r="AH2037" s="2">
        <v>220</v>
      </c>
      <c r="AJ2037" s="2">
        <f>AI2037*T2037</f>
        <v>0</v>
      </c>
      <c r="AK2037" s="2">
        <f>T2037-W2037</f>
        <v>102.69999999999999</v>
      </c>
      <c r="AL2037" s="5">
        <f>(T2037-W2037)/T2037</f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>(T2038-W2038)/T2038</f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>AJ2038</f>
        <v>0</v>
      </c>
      <c r="AG2038" s="2">
        <v>111.98</v>
      </c>
      <c r="AH2038" s="2">
        <v>210</v>
      </c>
      <c r="AJ2038" s="2">
        <f>AI2038*T2038</f>
        <v>0</v>
      </c>
      <c r="AK2038" s="2">
        <f>T2038-W2038</f>
        <v>109.18999999999997</v>
      </c>
      <c r="AL2038" s="5">
        <f>(T2038-W2038)/T2038</f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>(T2039-W2039)/T2039</f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>AJ2039</f>
        <v>0</v>
      </c>
      <c r="AJ2039" s="2">
        <f>AI2039*T2039</f>
        <v>0</v>
      </c>
      <c r="AK2039" s="2">
        <f>T2039-W2039</f>
        <v>100.94</v>
      </c>
      <c r="AL2039" s="5">
        <f>(T2039-W2039)/T2039</f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>(T2040-W2040)/T2040</f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>AJ2040</f>
        <v>0</v>
      </c>
      <c r="AJ2040" s="2">
        <f>AI2040*T2040</f>
        <v>0</v>
      </c>
      <c r="AK2040" s="2">
        <f>T2040-W2040</f>
        <v>15</v>
      </c>
      <c r="AL2040" s="5">
        <f>(T2040-W2040)/T2040</f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>(T2041-W2041)/T2041</f>
        <v>1</v>
      </c>
      <c r="Z2041" s="2" t="s">
        <v>118</v>
      </c>
      <c r="AA2041" s="2" t="s">
        <v>1312</v>
      </c>
      <c r="AF2041" s="2">
        <f>AJ2041</f>
        <v>0</v>
      </c>
      <c r="AJ2041" s="2">
        <f>AI2041*T2041</f>
        <v>0</v>
      </c>
      <c r="AK2041" s="2">
        <f>T2041-W2041</f>
        <v>10.5</v>
      </c>
      <c r="AL2041" s="5">
        <f>(T2041-W2041)/T2041</f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>(T2042-W2042)/T2042</f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>AJ2042</f>
        <v>0</v>
      </c>
      <c r="AJ2042" s="2">
        <f>AI2042*T2042</f>
        <v>0</v>
      </c>
      <c r="AK2042" s="2">
        <f>T2042-W2042</f>
        <v>0</v>
      </c>
      <c r="AL2042" s="5">
        <f>(T2042-W2042)/T2042</f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>(T2043-W2043)/T2043</f>
        <v>1</v>
      </c>
      <c r="Z2043" s="2" t="s">
        <v>120</v>
      </c>
      <c r="AA2043" s="2" t="s">
        <v>3384</v>
      </c>
      <c r="AF2043" s="2">
        <f>AJ2043</f>
        <v>0</v>
      </c>
      <c r="AJ2043" s="2">
        <f>AI2043*T2043</f>
        <v>0</v>
      </c>
      <c r="AK2043" s="2">
        <f>T2043-W2043</f>
        <v>939.5</v>
      </c>
      <c r="AL2043" s="5">
        <f>(T2043-W2043)/T2043</f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>(T2044-W2044)/T2044</f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>AJ2044</f>
        <v>0</v>
      </c>
      <c r="AJ2044" s="2">
        <f>AI2044*T2044</f>
        <v>0</v>
      </c>
      <c r="AK2044" s="2">
        <f>T2044-W2044</f>
        <v>254.19659999999999</v>
      </c>
      <c r="AL2044" s="5">
        <f>(T2044-W2044)/T2044</f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>(T2045-W2045)/T2045</f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>AJ2045</f>
        <v>0</v>
      </c>
      <c r="AJ2045" s="2">
        <f>AI2045*T2045</f>
        <v>0</v>
      </c>
      <c r="AK2045" s="2">
        <f>T2045-W2045</f>
        <v>36.599999999999994</v>
      </c>
      <c r="AL2045" s="5">
        <f>(T2045-W2045)/T2045</f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>(T2046-W2046)/T2046</f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>AJ2046</f>
        <v>0</v>
      </c>
      <c r="AJ2046" s="2">
        <f>AI2046*T2046</f>
        <v>0</v>
      </c>
      <c r="AK2046" s="2">
        <f>T2046-W2046</f>
        <v>25</v>
      </c>
      <c r="AL2046" s="5">
        <f>(T2046-W2046)/T2046</f>
        <v>0.5</v>
      </c>
    </row>
    <row r="2047" spans="1:38" x14ac:dyDescent="0.2">
      <c r="A2047" s="2">
        <v>2025</v>
      </c>
      <c r="B2047" s="2">
        <v>11</v>
      </c>
      <c r="C2047" s="2" t="s">
        <v>3457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>(T2047-W2047)/T2047</f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>AJ2047</f>
        <v>0</v>
      </c>
      <c r="AG2047" s="2">
        <v>6.6266999999999996</v>
      </c>
      <c r="AH2047" s="2">
        <v>12</v>
      </c>
      <c r="AJ2047" s="2">
        <f>AI2047*T2047</f>
        <v>0</v>
      </c>
      <c r="AK2047" s="2">
        <f>T2047-W2047</f>
        <v>10.746600000000001</v>
      </c>
      <c r="AL2047" s="5">
        <f>(T2047-W2047)/T2047</f>
        <v>0.44777500000000003</v>
      </c>
    </row>
    <row r="2048" spans="1:38" x14ac:dyDescent="0.2">
      <c r="A2048" s="2">
        <v>2025</v>
      </c>
      <c r="B2048" s="2">
        <v>11</v>
      </c>
      <c r="C2048" s="2" t="s">
        <v>3457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>(T2048-W2048)/T2048</f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>AJ2048</f>
        <v>0</v>
      </c>
      <c r="AG2048" s="2">
        <v>8.1999999999999993</v>
      </c>
      <c r="AH2048" s="2">
        <v>13</v>
      </c>
      <c r="AJ2048" s="2">
        <f>AI2048*T2048</f>
        <v>0</v>
      </c>
      <c r="AK2048" s="2">
        <f>T2048-W2048</f>
        <v>12.899999999999999</v>
      </c>
      <c r="AL2048" s="5">
        <f>(T2048-W2048)/T2048</f>
        <v>0.34399999999999997</v>
      </c>
    </row>
    <row r="2049" spans="1:38" x14ac:dyDescent="0.2">
      <c r="A2049" s="2">
        <v>2025</v>
      </c>
      <c r="B2049" s="2">
        <v>11</v>
      </c>
      <c r="C2049" s="2" t="s">
        <v>3457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>(T2049-W2049)/T2049</f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>AJ2049</f>
        <v>0</v>
      </c>
      <c r="AJ2049" s="2">
        <f>AI2049*T2049</f>
        <v>0</v>
      </c>
      <c r="AK2049" s="2">
        <f>T2049-W2049</f>
        <v>5.8600000000000012</v>
      </c>
      <c r="AL2049" s="5">
        <f>(T2049-W2049)/T2049</f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>(T2050-W2050)/T2050</f>
        <v>1</v>
      </c>
      <c r="Z2050" s="2" t="s">
        <v>118</v>
      </c>
      <c r="AF2050" s="2">
        <f>AJ2050</f>
        <v>0</v>
      </c>
      <c r="AJ2050" s="2">
        <f>AI2050*T2050</f>
        <v>0</v>
      </c>
      <c r="AK2050" s="2">
        <f>T2050-W2050</f>
        <v>153.34</v>
      </c>
      <c r="AL2050" s="5">
        <f>(T2050-W2050)/T2050</f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>(T2051-W2051)/T2051</f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>AJ2051</f>
        <v>0</v>
      </c>
      <c r="AJ2051" s="2">
        <f>AI2051*T2051</f>
        <v>0</v>
      </c>
      <c r="AK2051" s="2">
        <f>T2051-W2051</f>
        <v>352.72999999999996</v>
      </c>
      <c r="AL2051" s="5">
        <f>(T2051-W2051)/T2051</f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>(T2052-W2052)/T2052</f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>AJ2052</f>
        <v>0</v>
      </c>
      <c r="AJ2052" s="2">
        <f>AI2052*T2052</f>
        <v>0</v>
      </c>
      <c r="AK2052" s="2">
        <f>T2052-W2052</f>
        <v>86.4</v>
      </c>
      <c r="AL2052" s="5">
        <f>(T2052-W2052)/T2052</f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>AJ2053</f>
        <v>0</v>
      </c>
      <c r="AJ2053" s="2">
        <f>AI2053*T2053</f>
        <v>0</v>
      </c>
      <c r="AK2053" s="2">
        <f>T2053-W2053</f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>(T2054-W2054)/T2054</f>
        <v>1</v>
      </c>
      <c r="Z2054" s="2" t="s">
        <v>118</v>
      </c>
      <c r="AF2054" s="2">
        <f>AJ2054</f>
        <v>0</v>
      </c>
      <c r="AJ2054" s="2">
        <f>AI2054*T2054</f>
        <v>0</v>
      </c>
      <c r="AK2054" s="2">
        <f>T2054-W2054</f>
        <v>153.34</v>
      </c>
      <c r="AL2054" s="5">
        <f>(T2054-W2054)/T2054</f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>(T2055-W2055)/T2055</f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>AJ2055</f>
        <v>0</v>
      </c>
      <c r="AJ2055" s="2">
        <f>AI2055*T2055</f>
        <v>0</v>
      </c>
      <c r="AK2055" s="2">
        <f>T2055-W2055</f>
        <v>94.19</v>
      </c>
      <c r="AL2055" s="5">
        <f>(T2055-W2055)/T2055</f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>(T2056-W2056)/T2056</f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>AJ2056</f>
        <v>0</v>
      </c>
      <c r="AJ2056" s="2">
        <f>AI2056*T2056</f>
        <v>0</v>
      </c>
      <c r="AK2056" s="2">
        <f>T2056-W2056</f>
        <v>120</v>
      </c>
      <c r="AL2056" s="5">
        <f>(T2056-W2056)/T2056</f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>(T2057-W2057)/T2057</f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>AJ2057</f>
        <v>0</v>
      </c>
      <c r="AJ2057" s="2">
        <f>AI2057*T2057</f>
        <v>0</v>
      </c>
      <c r="AK2057" s="2">
        <f>T2057-W2057</f>
        <v>136.80000000000001</v>
      </c>
      <c r="AL2057" s="5">
        <f>(T2057-W2057)/T2057</f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>(T2058-W2058)/T2058</f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>AJ2058</f>
        <v>0</v>
      </c>
      <c r="AJ2058" s="2">
        <f>AI2058*T2058</f>
        <v>0</v>
      </c>
      <c r="AK2058" s="2">
        <f>T2058-W2058</f>
        <v>125</v>
      </c>
      <c r="AL2058" s="5">
        <f>(T2058-W2058)/T2058</f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>(T2059-W2059)/T2059</f>
        <v>-0.53333333333333333</v>
      </c>
      <c r="Z2059" s="2" t="s">
        <v>170</v>
      </c>
      <c r="AA2059" s="2" t="s">
        <v>170</v>
      </c>
      <c r="AF2059" s="2">
        <f>AJ2059</f>
        <v>0</v>
      </c>
      <c r="AJ2059" s="2">
        <f>AI2059*T2059</f>
        <v>0</v>
      </c>
      <c r="AK2059" s="2">
        <f>T2059-W2059</f>
        <v>-8</v>
      </c>
      <c r="AL2059" s="5">
        <f>(T2059-W2059)/T2059</f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>(T2060-W2060)/T2060</f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>AJ2060</f>
        <v>0</v>
      </c>
      <c r="AJ2060" s="2">
        <f>AI2060*T2060</f>
        <v>0</v>
      </c>
      <c r="AK2060" s="2">
        <f>T2060-W2060</f>
        <v>0</v>
      </c>
      <c r="AL2060" s="5">
        <f>(T2060-W2060)/T2060</f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>(T2061-W2061)/T2061</f>
        <v>1</v>
      </c>
      <c r="Z2061" s="2" t="s">
        <v>120</v>
      </c>
      <c r="AA2061" s="2" t="s">
        <v>3384</v>
      </c>
      <c r="AF2061" s="2">
        <f>AJ2061</f>
        <v>0</v>
      </c>
      <c r="AJ2061" s="2">
        <f>AI2061*T2061</f>
        <v>0</v>
      </c>
      <c r="AK2061" s="2">
        <f>T2061-W2061</f>
        <v>67.2</v>
      </c>
      <c r="AL2061" s="5">
        <f>(T2061-W2061)/T2061</f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>(T2062-W2062)/T2062</f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>AJ2062</f>
        <v>0</v>
      </c>
      <c r="AJ2062" s="2">
        <f>AI2062*T2062</f>
        <v>0</v>
      </c>
      <c r="AK2062" s="2">
        <f>T2062-W2062</f>
        <v>7.125</v>
      </c>
      <c r="AL2062" s="5">
        <f>(T2062-W2062)/T2062</f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>(T2063-W2063)/T2063</f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>AJ2063</f>
        <v>0</v>
      </c>
      <c r="AJ2063" s="2">
        <f>AI2063*T2063</f>
        <v>0</v>
      </c>
      <c r="AK2063" s="2">
        <f>T2063-W2063</f>
        <v>19.2</v>
      </c>
      <c r="AL2063" s="5">
        <f>(T2063-W2063)/T2063</f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>(T2064-W2064)/T2064</f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>AJ2064</f>
        <v>0</v>
      </c>
      <c r="AG2064" s="2">
        <v>10.6</v>
      </c>
      <c r="AH2064" s="2">
        <v>18</v>
      </c>
      <c r="AJ2064" s="2">
        <f>AI2064*T2064</f>
        <v>0</v>
      </c>
      <c r="AK2064" s="2">
        <f>T2064-W2064</f>
        <v>14.8</v>
      </c>
      <c r="AL2064" s="5">
        <f>(T2064-W2064)/T2064</f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>(T2065-W2065)/T2065</f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>AJ2065</f>
        <v>0</v>
      </c>
      <c r="AJ2065" s="2">
        <f>AI2065*T2065</f>
        <v>0</v>
      </c>
      <c r="AK2065" s="2">
        <f>T2065-W2065</f>
        <v>30</v>
      </c>
      <c r="AL2065" s="5">
        <f>(T2065-W2065)/T2065</f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>(T2066-W2066)/T2066</f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>AJ2066</f>
        <v>0</v>
      </c>
      <c r="AJ2066" s="2">
        <f>AI2066*T2066</f>
        <v>0</v>
      </c>
      <c r="AK2066" s="2">
        <f>T2066-W2066</f>
        <v>25</v>
      </c>
      <c r="AL2066" s="5">
        <f>(T2066-W2066)/T2066</f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>(T2067-W2067)/T2067</f>
        <v>1</v>
      </c>
      <c r="Z2067" s="2" t="s">
        <v>120</v>
      </c>
      <c r="AA2067" s="2" t="s">
        <v>3384</v>
      </c>
      <c r="AF2067" s="2">
        <f>AJ2067</f>
        <v>0</v>
      </c>
      <c r="AJ2067" s="2">
        <f>AI2067*T2067</f>
        <v>0</v>
      </c>
      <c r="AK2067" s="2">
        <f>T2067-W2067</f>
        <v>85.5</v>
      </c>
      <c r="AL2067" s="5">
        <f>(T2067-W2067)/T2067</f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>(T2068-W2068)/T2068</f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>AJ2068</f>
        <v>0</v>
      </c>
      <c r="AJ2068" s="2">
        <f>AI2068*T2068</f>
        <v>0</v>
      </c>
      <c r="AK2068" s="2">
        <f>T2068-W2068</f>
        <v>111.6</v>
      </c>
      <c r="AL2068" s="5">
        <f>(T2068-W2068)/T2068</f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>(T2069-W2069)/T2069</f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>AJ2069</f>
        <v>0</v>
      </c>
      <c r="AJ2069" s="2">
        <f>AI2069*T2069</f>
        <v>0</v>
      </c>
      <c r="AK2069" s="2">
        <f>T2069-W2069</f>
        <v>25</v>
      </c>
      <c r="AL2069" s="5">
        <f>(T2069-W2069)/T2069</f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>(T2070-W2070)/T2070</f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>AJ2070</f>
        <v>0</v>
      </c>
      <c r="AJ2070" s="2">
        <f>AI2070*T2070</f>
        <v>0</v>
      </c>
      <c r="AK2070" s="2">
        <f>T2070-W2070</f>
        <v>99.75</v>
      </c>
      <c r="AL2070" s="5">
        <f>(T2070-W2070)/T2070</f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>(T2071-W2071)/T2071</f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>AJ2071</f>
        <v>0</v>
      </c>
      <c r="AG2071" s="2">
        <v>6.6266999999999996</v>
      </c>
      <c r="AH2071" s="2">
        <v>12</v>
      </c>
      <c r="AJ2071" s="2">
        <f>AI2071*T2071</f>
        <v>0</v>
      </c>
      <c r="AK2071" s="2">
        <f>T2071-W2071</f>
        <v>43.733000000000004</v>
      </c>
      <c r="AL2071" s="5">
        <f>(T2071-W2071)/T2071</f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>(T2072-W2072)/T2072</f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>AJ2072</f>
        <v>0</v>
      </c>
      <c r="AG2072" s="2">
        <v>10.6</v>
      </c>
      <c r="AH2072" s="2">
        <v>18</v>
      </c>
      <c r="AJ2072" s="2">
        <f>AI2072*T2072</f>
        <v>0</v>
      </c>
      <c r="AK2072" s="2">
        <f>T2072-W2072</f>
        <v>22.200000000000003</v>
      </c>
      <c r="AL2072" s="5">
        <f>(T2072-W2072)/T2072</f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>(T2073-W2073)/T2073</f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>AJ2073</f>
        <v>0</v>
      </c>
      <c r="AG2073" s="2">
        <v>8.1999999999999993</v>
      </c>
      <c r="AH2073" s="2">
        <v>13</v>
      </c>
      <c r="AJ2073" s="2">
        <f>AI2073*T2073</f>
        <v>0</v>
      </c>
      <c r="AK2073" s="2">
        <f>T2073-W2073</f>
        <v>9.5999999999999979</v>
      </c>
      <c r="AL2073" s="5">
        <f>(T2073-W2073)/T2073</f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>(T2074-W2074)/T2074</f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>AJ2074</f>
        <v>0</v>
      </c>
      <c r="AG2074" s="2">
        <v>7.9611999999999998</v>
      </c>
      <c r="AH2074" s="2">
        <v>14.4</v>
      </c>
      <c r="AJ2074" s="2">
        <f>AI2074*T2074</f>
        <v>0</v>
      </c>
      <c r="AK2074" s="2">
        <f>T2074-W2074</f>
        <v>6.5388000000000002</v>
      </c>
      <c r="AL2074" s="5">
        <f>(T2074-W2074)/T2074</f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>(T2075-W2075)/T2075</f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>AJ2075</f>
        <v>0</v>
      </c>
      <c r="AG2075" s="2">
        <v>7.2217000000000002</v>
      </c>
      <c r="AH2075" s="2">
        <v>14.4</v>
      </c>
      <c r="AJ2075" s="2">
        <f>AI2075*T2075</f>
        <v>0</v>
      </c>
      <c r="AK2075" s="2">
        <f>T2075-W2075</f>
        <v>11.956599999999998</v>
      </c>
      <c r="AL2075" s="5">
        <f>(T2075-W2075)/T2075</f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>(T2076-W2076)/T2076</f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>AJ2076</f>
        <v>0</v>
      </c>
      <c r="AJ2076" s="2">
        <f>AI2076*T2076</f>
        <v>0</v>
      </c>
      <c r="AK2076" s="2">
        <f>T2076-W2076</f>
        <v>14.25</v>
      </c>
      <c r="AL2076" s="5">
        <f>(T2076-W2076)/T2076</f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>(T2077-W2077)/T2077</f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>AJ2077</f>
        <v>0</v>
      </c>
      <c r="AJ2077" s="2">
        <f>AI2077*T2077</f>
        <v>0</v>
      </c>
      <c r="AK2077" s="2">
        <f>T2077-W2077</f>
        <v>39.6</v>
      </c>
      <c r="AL2077" s="5">
        <f>(T2077-W2077)/T2077</f>
        <v>1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>(T2078-W2078)/T2078</f>
        <v>1</v>
      </c>
      <c r="Z2078" s="2" t="s">
        <v>118</v>
      </c>
      <c r="AF2078" s="2">
        <f>AJ2078</f>
        <v>0</v>
      </c>
      <c r="AJ2078" s="2">
        <f>AI2078*T2078</f>
        <v>0</v>
      </c>
      <c r="AK2078" s="2">
        <f>T2078-W2078</f>
        <v>110.63</v>
      </c>
      <c r="AL2078" s="5">
        <f>(T2078-W2078)/T2078</f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>(T2079-W2079)/T2079</f>
        <v>1</v>
      </c>
      <c r="Z2079" s="2" t="s">
        <v>105</v>
      </c>
      <c r="AF2079" s="2">
        <f>AJ2079</f>
        <v>0</v>
      </c>
      <c r="AJ2079" s="2">
        <f>AI2079*T2079</f>
        <v>0</v>
      </c>
      <c r="AK2079" s="2">
        <f>T2079-W2079</f>
        <v>6680</v>
      </c>
      <c r="AL2079" s="5">
        <f>(T2079-W2079)/T2079</f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>(T2080-W2080)/T2080</f>
        <v>1</v>
      </c>
      <c r="Z2080" s="2" t="s">
        <v>105</v>
      </c>
      <c r="AF2080" s="2">
        <f>AJ2080</f>
        <v>0</v>
      </c>
      <c r="AJ2080" s="2">
        <f>AI2080*T2080</f>
        <v>0</v>
      </c>
      <c r="AK2080" s="2">
        <f>T2080-W2080</f>
        <v>8200</v>
      </c>
      <c r="AL2080" s="5">
        <f>(T2080-W2080)/T2080</f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>(T2081-W2081)/T2081</f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>AJ2081</f>
        <v>0</v>
      </c>
      <c r="AG2081" s="2">
        <v>29.27</v>
      </c>
      <c r="AH2081" s="2">
        <v>60</v>
      </c>
      <c r="AJ2081" s="2">
        <f>AI2081*T2081</f>
        <v>0</v>
      </c>
      <c r="AK2081" s="2">
        <f>T2081-W2081</f>
        <v>30.73</v>
      </c>
      <c r="AL2081" s="5">
        <f>(T2081-W2081)/T2081</f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>(T2082-W2082)/T2082</f>
        <v>0.42243589743589743</v>
      </c>
      <c r="Z2082" s="2" t="s">
        <v>3231</v>
      </c>
      <c r="AA2082" s="2" t="s">
        <v>3387</v>
      </c>
      <c r="AB2082" s="2" t="s">
        <v>1990</v>
      </c>
      <c r="AC2082" s="2" t="s">
        <v>1040</v>
      </c>
      <c r="AF2082" s="2">
        <f>AJ2082</f>
        <v>0</v>
      </c>
      <c r="AJ2082" s="2">
        <f>AI2082*T2082</f>
        <v>0</v>
      </c>
      <c r="AK2082" s="2">
        <f>T2082-W2082</f>
        <v>659</v>
      </c>
      <c r="AL2082" s="5">
        <f>(T2082-W2082)/T2082</f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>(T2083-W2083)/T2083</f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>AJ2083</f>
        <v>0</v>
      </c>
      <c r="AG2083" s="2">
        <v>117.453</v>
      </c>
      <c r="AH2083" s="2">
        <v>220</v>
      </c>
      <c r="AJ2083" s="2">
        <f>AI2083*T2083</f>
        <v>0</v>
      </c>
      <c r="AK2083" s="2">
        <f>T2083-W2083</f>
        <v>215.09399999999999</v>
      </c>
      <c r="AL2083" s="5">
        <f>(T2083-W2083)/T2083</f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>(T2084-W2084)/T2084</f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>AJ2084</f>
        <v>0</v>
      </c>
      <c r="AJ2084" s="2">
        <f>AI2084*T2084</f>
        <v>0</v>
      </c>
      <c r="AK2084" s="2">
        <f>T2084-W2084</f>
        <v>0</v>
      </c>
      <c r="AL2084" s="5">
        <f>(T2084-W2084)/T2084</f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>(T2085-W2085)/T2085</f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>AJ2085</f>
        <v>0</v>
      </c>
      <c r="AJ2085" s="2">
        <f>AI2085*T2085</f>
        <v>0</v>
      </c>
      <c r="AK2085" s="2">
        <f>T2085-W2085</f>
        <v>103.53719999999998</v>
      </c>
      <c r="AL2085" s="5">
        <f>(T2085-W2085)/T2085</f>
        <v>0.31955925925925921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>(T2086-W2086)/T2086</f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>AJ2086</f>
        <v>0</v>
      </c>
      <c r="AJ2086" s="2">
        <f>AI2086*T2086</f>
        <v>0</v>
      </c>
      <c r="AK2086" s="2">
        <f>T2086-W2086</f>
        <v>270</v>
      </c>
      <c r="AL2086" s="5">
        <f>(T2086-W2086)/T2086</f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>(T2087-W2087)/T2087</f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>AJ2087</f>
        <v>0</v>
      </c>
      <c r="AJ2087" s="2">
        <f>AI2087*T2087</f>
        <v>0</v>
      </c>
      <c r="AK2087" s="2">
        <f>T2087-W2087</f>
        <v>31.710000000000008</v>
      </c>
      <c r="AL2087" s="5">
        <f>(T2087-W2087)/T2087</f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>(T2088-W2088)/T2088</f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>AJ2088</f>
        <v>0</v>
      </c>
      <c r="AJ2088" s="2">
        <f>AI2088*T2088</f>
        <v>0</v>
      </c>
      <c r="AK2088" s="2">
        <f>T2088-W2088</f>
        <v>0</v>
      </c>
      <c r="AL2088" s="5">
        <f>(T2088-W2088)/T2088</f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>(T2089-W2089)/T2089</f>
        <v>1</v>
      </c>
      <c r="Z2089" s="2" t="s">
        <v>120</v>
      </c>
      <c r="AA2089" s="2" t="s">
        <v>3384</v>
      </c>
      <c r="AF2089" s="2">
        <f>AJ2089</f>
        <v>0</v>
      </c>
      <c r="AJ2089" s="2">
        <f>AI2089*T2089</f>
        <v>0</v>
      </c>
      <c r="AK2089" s="2">
        <f>T2089-W2089</f>
        <v>29.79</v>
      </c>
      <c r="AL2089" s="5">
        <f>(T2089-W2089)/T2089</f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>(T2090-W2090)/T2090</f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>AJ2090</f>
        <v>0</v>
      </c>
      <c r="AJ2090" s="2">
        <f>AI2090*T2090</f>
        <v>0</v>
      </c>
      <c r="AK2090" s="2">
        <f>T2090-W2090</f>
        <v>18.704999999999998</v>
      </c>
      <c r="AL2090" s="5">
        <f>(T2090-W2090)/T2090</f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>(T2091-W2091)/T2091</f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>AJ2091</f>
        <v>0</v>
      </c>
      <c r="AJ2091" s="2">
        <f>AI2091*T2091</f>
        <v>0</v>
      </c>
      <c r="AK2091" s="2">
        <f>T2091-W2091</f>
        <v>528.59999999999991</v>
      </c>
      <c r="AL2091" s="5">
        <f>(T2091-W2091)/T2091</f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>(T2092-W2092)/T2092</f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>AJ2092</f>
        <v>0</v>
      </c>
      <c r="AJ2092" s="2">
        <f>AI2092*T2092</f>
        <v>0</v>
      </c>
      <c r="AK2092" s="2">
        <f>T2092-W2092</f>
        <v>649</v>
      </c>
      <c r="AL2092" s="5">
        <f>(T2092-W2092)/T2092</f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>(T2093-W2093)/T2093</f>
        <v>1</v>
      </c>
      <c r="Z2093" s="2" t="s">
        <v>118</v>
      </c>
      <c r="AF2093" s="2">
        <f>AJ2093</f>
        <v>0</v>
      </c>
      <c r="AJ2093" s="2">
        <f>AI2093*T2093</f>
        <v>0</v>
      </c>
      <c r="AK2093" s="2">
        <f>T2093-W2093</f>
        <v>83.79</v>
      </c>
      <c r="AL2093" s="5">
        <f>(T2093-W2093)/T2093</f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>(T2094-W2094)/T2094</f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>AJ2094</f>
        <v>0</v>
      </c>
      <c r="AG2094" s="2">
        <v>110.68</v>
      </c>
      <c r="AH2094" s="2">
        <v>210</v>
      </c>
      <c r="AJ2094" s="2">
        <f>AI2094*T2094</f>
        <v>0</v>
      </c>
      <c r="AK2094" s="2">
        <f>T2094-W2094</f>
        <v>99.32</v>
      </c>
      <c r="AL2094" s="5">
        <f>(T2094-W2094)/T2094</f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>(T2095-W2095)/T2095</f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>AJ2095</f>
        <v>0</v>
      </c>
      <c r="AJ2095" s="2">
        <f>AI2095*T2095</f>
        <v>0</v>
      </c>
      <c r="AK2095" s="2">
        <f>T2095-W2095</f>
        <v>48.6</v>
      </c>
      <c r="AL2095" s="5">
        <f>(T2095-W2095)/T2095</f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>(T2096-W2096)/T2096</f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>AJ2096</f>
        <v>0</v>
      </c>
      <c r="AJ2096" s="2">
        <f>AI2096*T2096</f>
        <v>0</v>
      </c>
      <c r="AK2096" s="2">
        <f>T2096-W2096</f>
        <v>25</v>
      </c>
      <c r="AL2096" s="5">
        <f>(T2096-W2096)/T2096</f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>(T2097-W2097)/T2097</f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>AJ2097</f>
        <v>0</v>
      </c>
      <c r="AJ2097" s="2">
        <f>AI2097*T2097</f>
        <v>0</v>
      </c>
      <c r="AK2097" s="2">
        <f>T2097-W2097</f>
        <v>0</v>
      </c>
      <c r="AL2097" s="5">
        <f>(T2097-W2097)/T2097</f>
        <v>0</v>
      </c>
    </row>
    <row r="2098" spans="1:38" x14ac:dyDescent="0.2">
      <c r="A2098" s="2">
        <v>2025</v>
      </c>
      <c r="B2098" s="2">
        <v>11</v>
      </c>
      <c r="C2098" s="2" t="s">
        <v>3444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>(T2098-W2098)/T2098</f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>AJ2098</f>
        <v>0</v>
      </c>
      <c r="AJ2098" s="2">
        <f>AI2098*T2098</f>
        <v>0</v>
      </c>
      <c r="AK2098" s="2">
        <f>T2098-W2098</f>
        <v>30</v>
      </c>
      <c r="AL2098" s="5">
        <f>(T2098-W2098)/T2098</f>
        <v>0.6</v>
      </c>
    </row>
    <row r="2099" spans="1:38" x14ac:dyDescent="0.2">
      <c r="A2099" s="2">
        <v>2025</v>
      </c>
      <c r="B2099" s="2">
        <v>11</v>
      </c>
      <c r="C2099" s="2" t="s">
        <v>3444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>(T2099-W2099)/T2099</f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>AJ2099</f>
        <v>0</v>
      </c>
      <c r="AJ2099" s="2">
        <f>AI2099*T2099</f>
        <v>0</v>
      </c>
      <c r="AK2099" s="2">
        <f>T2099-W2099</f>
        <v>25</v>
      </c>
      <c r="AL2099" s="5">
        <f>(T2099-W2099)/T2099</f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>(T2100-W2100)/T2100</f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>AJ2100</f>
        <v>0</v>
      </c>
      <c r="AG2100" s="2">
        <v>3.7357999999999998</v>
      </c>
      <c r="AH2100" s="2">
        <v>9</v>
      </c>
      <c r="AJ2100" s="2">
        <f>AI2100*T2100</f>
        <v>0</v>
      </c>
      <c r="AK2100" s="2">
        <f>T2100-W2100</f>
        <v>4.0641999999999996</v>
      </c>
      <c r="AL2100" s="5">
        <f>(T2100-W2100)/T2100</f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>(T2101-W2101)/T2101</f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>AJ2101</f>
        <v>0</v>
      </c>
      <c r="AG2101" s="2">
        <v>8.1999999999999993</v>
      </c>
      <c r="AH2101" s="2">
        <v>13</v>
      </c>
      <c r="AJ2101" s="2">
        <f>AI2101*T2101</f>
        <v>0</v>
      </c>
      <c r="AK2101" s="2">
        <f>T2101-W2101</f>
        <v>23</v>
      </c>
      <c r="AL2101" s="5">
        <f>(T2101-W2101)/T2101</f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>(T2102-W2102)/T2102</f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>AJ2102</f>
        <v>0</v>
      </c>
      <c r="AG2102" s="2">
        <v>15.020300000000001</v>
      </c>
      <c r="AH2102" s="2">
        <v>27.6</v>
      </c>
      <c r="AJ2102" s="2">
        <f>AI2102*T2102</f>
        <v>0</v>
      </c>
      <c r="AK2102" s="2">
        <f>T2102-W2102</f>
        <v>14.959399999999999</v>
      </c>
      <c r="AL2102" s="5">
        <f>(T2102-W2102)/T2102</f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>(T2103-W2103)/T2103</f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>AJ2103</f>
        <v>0</v>
      </c>
      <c r="AG2103" s="2">
        <v>122.446</v>
      </c>
      <c r="AH2103" s="2">
        <v>230</v>
      </c>
      <c r="AJ2103" s="2">
        <f>AI2103*T2103</f>
        <v>0</v>
      </c>
      <c r="AK2103" s="2">
        <f>T2103-W2103</f>
        <v>107.554</v>
      </c>
      <c r="AL2103" s="5">
        <f>(T2103-W2103)/T2103</f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>(T2104-W2104)/T2104</f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>AJ2104</f>
        <v>0</v>
      </c>
      <c r="AJ2104" s="2">
        <f>AI2104*T2104</f>
        <v>0</v>
      </c>
      <c r="AK2104" s="2">
        <f>T2104-W2104</f>
        <v>0</v>
      </c>
      <c r="AL2104" s="5">
        <f>(T2104-W2104)/T2104</f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>(T2105-W2105)/T2105</f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>AJ2105</f>
        <v>0</v>
      </c>
      <c r="AJ2105" s="2">
        <f>AI2105*T2105</f>
        <v>0</v>
      </c>
      <c r="AK2105" s="2">
        <f>T2105-W2105</f>
        <v>30</v>
      </c>
      <c r="AL2105" s="5">
        <f>(T2105-W2105)/T2105</f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>(T2106-W2106)/T2106</f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>AJ2106</f>
        <v>0</v>
      </c>
      <c r="AJ2106" s="2">
        <f>AI2106*T2106</f>
        <v>0</v>
      </c>
      <c r="AK2106" s="2">
        <f>T2106-W2106</f>
        <v>25</v>
      </c>
      <c r="AL2106" s="5">
        <f>(T2106-W2106)/T2106</f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>(T2107-W2107)/T2107</f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>AJ2107</f>
        <v>0</v>
      </c>
      <c r="AJ2107" s="2">
        <f>AI2107*T2107</f>
        <v>0</v>
      </c>
      <c r="AK2107" s="2">
        <f>T2107-W2107</f>
        <v>26</v>
      </c>
      <c r="AL2107" s="5">
        <f>(T2107-W2107)/T2107</f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>(T2108-W2108)/T2108</f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>AJ2108</f>
        <v>0</v>
      </c>
      <c r="AJ2108" s="2">
        <f>AI2108*T2108</f>
        <v>0</v>
      </c>
      <c r="AK2108" s="2">
        <f>T2108-W2108</f>
        <v>26</v>
      </c>
      <c r="AL2108" s="5">
        <f>(T2108-W2108)/T2108</f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>(T2109-W2109)/T2109</f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>AJ2109</f>
        <v>0</v>
      </c>
      <c r="AJ2109" s="2">
        <f>AI2109*T2109</f>
        <v>0</v>
      </c>
      <c r="AK2109" s="2">
        <f>T2109-W2109</f>
        <v>33</v>
      </c>
      <c r="AL2109" s="5">
        <f>(T2109-W2109)/T2109</f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>(T2110-W2110)/T2110</f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>AJ2110</f>
        <v>0</v>
      </c>
      <c r="AJ2110" s="2">
        <f>AI2110*T2110</f>
        <v>0</v>
      </c>
      <c r="AK2110" s="2">
        <f>T2110-W2110</f>
        <v>75</v>
      </c>
      <c r="AL2110" s="5">
        <f>(T2110-W2110)/T2110</f>
        <v>0.5</v>
      </c>
    </row>
    <row r="2111" spans="1:38" x14ac:dyDescent="0.2">
      <c r="A2111" s="2">
        <v>2025</v>
      </c>
      <c r="B2111" s="2">
        <v>11</v>
      </c>
      <c r="C2111" s="2" t="s">
        <v>3446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>(T2111-W2111)/T2111</f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>AJ2111</f>
        <v>0</v>
      </c>
      <c r="AG2111" s="2">
        <v>10.2346</v>
      </c>
      <c r="AH2111" s="2">
        <v>18</v>
      </c>
      <c r="AJ2111" s="2">
        <f>AI2111*T2111</f>
        <v>0</v>
      </c>
      <c r="AK2111" s="2">
        <f>T2111-W2111</f>
        <v>4.7999999999999989</v>
      </c>
      <c r="AL2111" s="5">
        <f>(T2111-W2111)/T2111</f>
        <v>0.24999999999999994</v>
      </c>
    </row>
    <row r="2112" spans="1:38" x14ac:dyDescent="0.2">
      <c r="A2112" s="2">
        <v>2025</v>
      </c>
      <c r="B2112" s="2">
        <v>11</v>
      </c>
      <c r="C2112" s="2" t="s">
        <v>3446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>(T2112-W2112)/T2112</f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>AJ2112</f>
        <v>0</v>
      </c>
      <c r="AG2112" s="2">
        <v>10.6</v>
      </c>
      <c r="AH2112" s="2">
        <v>18</v>
      </c>
      <c r="AJ2112" s="2">
        <f>AI2112*T2112</f>
        <v>0</v>
      </c>
      <c r="AK2112" s="2">
        <f>T2112-W2112</f>
        <v>7.4</v>
      </c>
      <c r="AL2112" s="5">
        <f>(T2112-W2112)/T2112</f>
        <v>0.41111111111111115</v>
      </c>
    </row>
    <row r="2113" spans="1:38" x14ac:dyDescent="0.2">
      <c r="A2113" s="2">
        <v>2025</v>
      </c>
      <c r="B2113" s="2">
        <v>11</v>
      </c>
      <c r="C2113" s="2" t="s">
        <v>3446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>(T2113-W2113)/T2113</f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>AJ2113</f>
        <v>0</v>
      </c>
      <c r="AG2113" s="2">
        <v>15.494999999999999</v>
      </c>
      <c r="AH2113" s="2">
        <v>36</v>
      </c>
      <c r="AJ2113" s="2">
        <f>AI2113*T2113</f>
        <v>0</v>
      </c>
      <c r="AK2113" s="2">
        <f>T2113-W2113</f>
        <v>17.505000000000003</v>
      </c>
      <c r="AL2113" s="5">
        <f>(T2113-W2113)/T2113</f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>(T2114-W2114)/T2114</f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>AJ2114</f>
        <v>0</v>
      </c>
      <c r="AJ2114" s="2">
        <f>AI2114*T2114</f>
        <v>0</v>
      </c>
      <c r="AK2114" s="2">
        <f>T2114-W2114</f>
        <v>79.8</v>
      </c>
      <c r="AL2114" s="5">
        <f>(T2114-W2114)/T2114</f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>(T2115-W2115)/T2115</f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>AJ2115</f>
        <v>0</v>
      </c>
      <c r="AJ2115" s="2">
        <f>AI2115*T2115</f>
        <v>0</v>
      </c>
      <c r="AK2115" s="2">
        <f>T2115-W2115</f>
        <v>50</v>
      </c>
      <c r="AL2115" s="5">
        <f>(T2115-W2115)/T2115</f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>(T2116-W2116)/T2116</f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>AJ2116</f>
        <v>0</v>
      </c>
      <c r="AJ2116" s="2">
        <f>AI2116*T2116</f>
        <v>0</v>
      </c>
      <c r="AK2116" s="2">
        <f>T2116-W2116</f>
        <v>354.09659999999997</v>
      </c>
      <c r="AL2116" s="5">
        <f>(T2116-W2116)/T2116</f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>(T2117-W2117)/T2117</f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>AJ2117</f>
        <v>0</v>
      </c>
      <c r="AJ2117" s="2">
        <f>AI2117*T2117</f>
        <v>0</v>
      </c>
      <c r="AK2117" s="2">
        <f>T2117-W2117</f>
        <v>30</v>
      </c>
      <c r="AL2117" s="5">
        <f>(T2117-W2117)/T2117</f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>(T2118-W2118)/T2118</f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>AJ2118</f>
        <v>0</v>
      </c>
      <c r="AJ2118" s="2">
        <f>AI2118*T2118</f>
        <v>0</v>
      </c>
      <c r="AK2118" s="2">
        <f>T2118-W2118</f>
        <v>25</v>
      </c>
      <c r="AL2118" s="5">
        <f>(T2118-W2118)/T2118</f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>(T2119-W2119)/T2119</f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>AJ2119</f>
        <v>0</v>
      </c>
      <c r="AJ2119" s="2">
        <f>AI2119*T2119</f>
        <v>0</v>
      </c>
      <c r="AK2119" s="2">
        <f>T2119-W2119</f>
        <v>97.75</v>
      </c>
      <c r="AL2119" s="5">
        <f>(T2119-W2119)/T2119</f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>(T2120-W2120)/T2120</f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>AJ2120</f>
        <v>0</v>
      </c>
      <c r="AJ2120" s="2">
        <f>AI2120*T2120</f>
        <v>0</v>
      </c>
      <c r="AK2120" s="2">
        <f>T2120-W2120</f>
        <v>0</v>
      </c>
      <c r="AL2120" s="5">
        <f>(T2120-W2120)/T2120</f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>(T2121-W2121)/T2121</f>
        <v>1</v>
      </c>
      <c r="Z2121" s="2" t="s">
        <v>3231</v>
      </c>
      <c r="AF2121" s="2">
        <f>AJ2121</f>
        <v>0</v>
      </c>
      <c r="AJ2121" s="2">
        <f>AI2121*T2121</f>
        <v>0</v>
      </c>
      <c r="AK2121" s="2">
        <f>T2121-W2121</f>
        <v>430</v>
      </c>
      <c r="AL2121" s="5">
        <f>(T2121-W2121)/T2121</f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>(T2122-W2122)/T2122</f>
        <v>1</v>
      </c>
      <c r="Z2122" s="2" t="s">
        <v>118</v>
      </c>
      <c r="AF2122" s="2">
        <f>AJ2122</f>
        <v>0</v>
      </c>
      <c r="AJ2122" s="2">
        <f>AI2122*T2122</f>
        <v>0</v>
      </c>
      <c r="AK2122" s="2">
        <f>T2122-W2122</f>
        <v>7.94</v>
      </c>
      <c r="AL2122" s="5">
        <f>(T2122-W2122)/T2122</f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>(T2123-W2123)/T2123</f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>AJ2123</f>
        <v>0</v>
      </c>
      <c r="AG2123" s="2">
        <v>10.6</v>
      </c>
      <c r="AH2123" s="2">
        <v>18</v>
      </c>
      <c r="AJ2123" s="2">
        <f>AI2123*T2123</f>
        <v>0</v>
      </c>
      <c r="AK2123" s="2">
        <f>T2123-W2123</f>
        <v>7.4</v>
      </c>
      <c r="AL2123" s="5">
        <f>(T2123-W2123)/T2123</f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>(T2124-W2124)/T2124</f>
        <v>1</v>
      </c>
      <c r="Z2124" s="2" t="s">
        <v>105</v>
      </c>
      <c r="AF2124" s="2">
        <f>AJ2124</f>
        <v>0</v>
      </c>
      <c r="AJ2124" s="2">
        <f>AI2124*T2124</f>
        <v>0</v>
      </c>
      <c r="AK2124" s="2">
        <f>T2124-W2124</f>
        <v>1000</v>
      </c>
      <c r="AL2124" s="5">
        <f>(T2124-W2124)/T2124</f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>AJ2125</f>
        <v>0</v>
      </c>
      <c r="AJ2125" s="2">
        <f>AI2125*T2125</f>
        <v>0</v>
      </c>
      <c r="AK2125" s="2">
        <f>T2125-W2125</f>
        <v>0</v>
      </c>
      <c r="AL2125" s="5" t="e">
        <f>(T2125-W2125)/T2125</f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>(T2126-W2126)/T2126</f>
        <v>1</v>
      </c>
      <c r="Z2126" s="2" t="s">
        <v>105</v>
      </c>
      <c r="AF2126" s="2">
        <f>AJ2126</f>
        <v>0</v>
      </c>
      <c r="AJ2126" s="2">
        <f>AI2126*T2126</f>
        <v>0</v>
      </c>
      <c r="AK2126" s="2">
        <f>T2126-W2126</f>
        <v>13990</v>
      </c>
      <c r="AL2126" s="5">
        <f>(T2126-W2126)/T2126</f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>(T2127-W2127)/T2127</f>
        <v>1</v>
      </c>
      <c r="Z2127" s="2" t="s">
        <v>118</v>
      </c>
      <c r="AF2127" s="2">
        <f>AJ2127</f>
        <v>0</v>
      </c>
      <c r="AJ2127" s="2">
        <f>AI2127*T2127</f>
        <v>0</v>
      </c>
      <c r="AK2127" s="2">
        <f>T2127-W2127</f>
        <v>79.819999999999993</v>
      </c>
      <c r="AL2127" s="5">
        <f>(T2127-W2127)/T2127</f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>(T2128-W2128)/T2128</f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>AJ2128</f>
        <v>0</v>
      </c>
      <c r="AJ2128" s="2">
        <f>AI2128*T2128</f>
        <v>0</v>
      </c>
      <c r="AK2128" s="2">
        <f>T2128-W2128</f>
        <v>91.8</v>
      </c>
      <c r="AL2128" s="5">
        <f>(T2128-W2128)/T2128</f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>(T2129-W2129)/T2129</f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>AJ2129</f>
        <v>0</v>
      </c>
      <c r="AJ2129" s="2">
        <f>AI2129*T2129</f>
        <v>0</v>
      </c>
      <c r="AK2129" s="2">
        <f>T2129-W2129</f>
        <v>25</v>
      </c>
      <c r="AL2129" s="5">
        <f>(T2129-W2129)/T2129</f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>(T2130-W2130)/T2130</f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>AJ2130</f>
        <v>0</v>
      </c>
      <c r="AG2130" s="2">
        <v>117.453</v>
      </c>
      <c r="AH2130" s="2">
        <v>220</v>
      </c>
      <c r="AJ2130" s="2">
        <f>AI2130*T2130</f>
        <v>0</v>
      </c>
      <c r="AK2130" s="2">
        <f>T2130-W2130</f>
        <v>102.547</v>
      </c>
      <c r="AL2130" s="5">
        <f>(T2130-W2130)/T2130</f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>(T2131-W2131)/T2131</f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>AJ2131</f>
        <v>0</v>
      </c>
      <c r="AJ2131" s="2">
        <f>AI2131*T2131</f>
        <v>0</v>
      </c>
      <c r="AK2131" s="2">
        <f>T2131-W2131</f>
        <v>0</v>
      </c>
      <c r="AL2131" s="5">
        <f>(T2131-W2131)/T2131</f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>(T2132-W2132)/T2132</f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>AJ2132</f>
        <v>0</v>
      </c>
      <c r="AG2132" s="2">
        <v>9.14</v>
      </c>
      <c r="AH2132" s="2">
        <v>16</v>
      </c>
      <c r="AJ2132" s="2">
        <f>AI2132*T2132</f>
        <v>0</v>
      </c>
      <c r="AK2132" s="2">
        <f>T2132-W2132</f>
        <v>3.8600000000000012</v>
      </c>
      <c r="AL2132" s="5">
        <f>(T2132-W2132)/T2132</f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>(T2133-W2133)/T2133</f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>AJ2133</f>
        <v>0</v>
      </c>
      <c r="AG2133" s="2">
        <v>3.7555999999999998</v>
      </c>
      <c r="AH2133" s="2">
        <v>7.2</v>
      </c>
      <c r="AJ2133" s="2">
        <f>AI2133*T2133</f>
        <v>0</v>
      </c>
      <c r="AK2133" s="2">
        <f>T2133-W2133</f>
        <v>11.377599999999999</v>
      </c>
      <c r="AL2133" s="5">
        <f>(T2133-W2133)/T2133</f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>(T2134-W2134)/T2134</f>
        <v>1</v>
      </c>
      <c r="Z2134" s="2" t="s">
        <v>170</v>
      </c>
      <c r="AA2134" s="2" t="s">
        <v>170</v>
      </c>
      <c r="AF2134" s="2">
        <f>AJ2134</f>
        <v>0</v>
      </c>
      <c r="AJ2134" s="2">
        <f>AI2134*T2134</f>
        <v>0</v>
      </c>
      <c r="AK2134" s="2">
        <f>T2134-W2134</f>
        <v>5</v>
      </c>
      <c r="AL2134" s="5">
        <f>(T2134-W2134)/T2134</f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>(T2135-W2135)/T2135</f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>AJ2135</f>
        <v>0</v>
      </c>
      <c r="AJ2135" s="2">
        <f>AI2135*T2135</f>
        <v>0</v>
      </c>
      <c r="AK2135" s="2">
        <f>T2135-W2135</f>
        <v>63.599999999999994</v>
      </c>
      <c r="AL2135" s="5">
        <f>(T2135-W2135)/T2135</f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>(T2136-W2136)/T2136</f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>AJ2136</f>
        <v>0</v>
      </c>
      <c r="AJ2136" s="2">
        <f>AI2136*T2136</f>
        <v>0</v>
      </c>
      <c r="AK2136" s="2">
        <f>T2136-W2136</f>
        <v>50</v>
      </c>
      <c r="AL2136" s="5">
        <f>(T2136-W2136)/T2136</f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>(T2137-W2137)/T2137</f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>AJ2137</f>
        <v>0</v>
      </c>
      <c r="AG2137" s="2">
        <v>10.67</v>
      </c>
      <c r="AH2137" s="2">
        <v>21</v>
      </c>
      <c r="AJ2137" s="2">
        <f>AI2137*T2137</f>
        <v>0</v>
      </c>
      <c r="AK2137" s="2">
        <f>T2137-W2137</f>
        <v>47.58</v>
      </c>
      <c r="AL2137" s="5">
        <f>(T2137-W2137)/T2137</f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>(T2138-W2138)/T2138</f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>AJ2138</f>
        <v>0</v>
      </c>
      <c r="AG2138" s="2">
        <v>3.7357999999999998</v>
      </c>
      <c r="AH2138" s="2">
        <v>9</v>
      </c>
      <c r="AJ2138" s="2">
        <f>AI2138*T2138</f>
        <v>0</v>
      </c>
      <c r="AK2138" s="2">
        <f>T2138-W2138</f>
        <v>24.385199999999998</v>
      </c>
      <c r="AL2138" s="5">
        <f>(T2138-W2138)/T2138</f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>(T2139-W2139)/T2139</f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>AJ2139</f>
        <v>0</v>
      </c>
      <c r="AG2139" s="2">
        <v>15.020300000000001</v>
      </c>
      <c r="AH2139" s="2">
        <v>27.6</v>
      </c>
      <c r="AJ2139" s="2">
        <f>AI2139*T2139</f>
        <v>0</v>
      </c>
      <c r="AK2139" s="2">
        <f>T2139-W2139</f>
        <v>11.379699999999998</v>
      </c>
      <c r="AL2139" s="5">
        <f>(T2139-W2139)/T2139</f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>(T2140-W2140)/T2140</f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>AJ2140</f>
        <v>0</v>
      </c>
      <c r="AG2140" s="2">
        <v>3.7357999999999998</v>
      </c>
      <c r="AH2140" s="2">
        <v>9</v>
      </c>
      <c r="AJ2140" s="2">
        <f>AI2140*T2140</f>
        <v>0</v>
      </c>
      <c r="AK2140" s="2">
        <f>T2140-W2140</f>
        <v>4.0641999999999996</v>
      </c>
      <c r="AL2140" s="5">
        <f>(T2140-W2140)/T2140</f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>(T2141-W2141)/T2141</f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>AJ2141</f>
        <v>0</v>
      </c>
      <c r="AG2141" s="2">
        <v>10.6</v>
      </c>
      <c r="AH2141" s="2">
        <v>18</v>
      </c>
      <c r="AJ2141" s="2">
        <f>AI2141*T2141</f>
        <v>0</v>
      </c>
      <c r="AK2141" s="2">
        <f>T2141-W2141</f>
        <v>7.4</v>
      </c>
      <c r="AL2141" s="5">
        <f>(T2141-W2141)/T2141</f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>(T2142-W2142)/T2142</f>
        <v>1</v>
      </c>
      <c r="Z2142" s="2" t="s">
        <v>118</v>
      </c>
      <c r="AF2142" s="2">
        <f>AJ2142</f>
        <v>0</v>
      </c>
      <c r="AJ2142" s="2">
        <f>AI2142*T2142</f>
        <v>0</v>
      </c>
      <c r="AK2142" s="2">
        <f>T2142-W2142</f>
        <v>24.68</v>
      </c>
      <c r="AL2142" s="5">
        <f>(T2142-W2142)/T2142</f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>(T2143-W2143)/T2143</f>
        <v>1</v>
      </c>
      <c r="Z2143" s="2" t="s">
        <v>118</v>
      </c>
      <c r="AA2143" s="2" t="s">
        <v>318</v>
      </c>
      <c r="AF2143" s="2">
        <f>AJ2143</f>
        <v>0</v>
      </c>
      <c r="AJ2143" s="2">
        <f>AI2143*T2143</f>
        <v>0</v>
      </c>
      <c r="AK2143" s="2">
        <f>T2143-W2143</f>
        <v>929</v>
      </c>
      <c r="AL2143" s="5">
        <f>(T2143-W2143)/T2143</f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>(T2144-W2144)/T2144</f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>AJ2144</f>
        <v>0</v>
      </c>
      <c r="AJ2144" s="2">
        <f>AI2144*T2144</f>
        <v>0</v>
      </c>
      <c r="AK2144" s="2">
        <f>T2144-W2144</f>
        <v>32.4</v>
      </c>
      <c r="AL2144" s="5">
        <f>(T2144-W2144)/T2144</f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>AJ2145</f>
        <v>0</v>
      </c>
      <c r="AJ2145" s="2">
        <f>AI2145*T2145</f>
        <v>0</v>
      </c>
      <c r="AK2145" s="2">
        <f>T2145-W2145</f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>(T2146-W2146)/T2146</f>
        <v>#DIV/0!</v>
      </c>
      <c r="Z2146" s="2" t="s">
        <v>118</v>
      </c>
      <c r="AA2146" s="2" t="s">
        <v>318</v>
      </c>
      <c r="AF2146" s="2">
        <f>AJ2146</f>
        <v>0</v>
      </c>
      <c r="AJ2146" s="2">
        <f>AI2146*T2146</f>
        <v>0</v>
      </c>
      <c r="AK2146" s="2">
        <f>T2146-W2146</f>
        <v>0</v>
      </c>
      <c r="AL2146" s="5" t="e">
        <f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>(T2147-W2147)/T2147</f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>AJ2147</f>
        <v>0</v>
      </c>
      <c r="AJ2147" s="2">
        <f>AI2147*T2147</f>
        <v>0</v>
      </c>
      <c r="AK2147" s="2">
        <f>T2147-W2147</f>
        <v>52</v>
      </c>
      <c r="AL2147" s="5">
        <f>(T2147-W2147)/T2147</f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>(T2148-W2148)/T2148</f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>AJ2148</f>
        <v>0</v>
      </c>
      <c r="AJ2148" s="2">
        <f>AI2148*T2148</f>
        <v>0</v>
      </c>
      <c r="AK2148" s="2">
        <f>T2148-W2148</f>
        <v>52</v>
      </c>
      <c r="AL2148" s="5">
        <f>(T2148-W2148)/T2148</f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>(T2149-W2149)/T2149</f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>AJ2149</f>
        <v>0</v>
      </c>
      <c r="AJ2149" s="2">
        <f>AI2149*T2149</f>
        <v>0</v>
      </c>
      <c r="AK2149" s="2">
        <f>T2149-W2149</f>
        <v>26</v>
      </c>
      <c r="AL2149" s="5">
        <f>(T2149-W2149)/T2149</f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>(T2150-W2150)/T2150</f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>AJ2150</f>
        <v>0</v>
      </c>
      <c r="AJ2150" s="2">
        <f>AI2150*T2150</f>
        <v>0</v>
      </c>
      <c r="AK2150" s="2">
        <f>T2150-W2150</f>
        <v>26</v>
      </c>
      <c r="AL2150" s="5">
        <f>(T2150-W2150)/T2150</f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>(T2151-W2151)/T2151</f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>AJ2151</f>
        <v>0</v>
      </c>
      <c r="AJ2151" s="2">
        <f>AI2151*T2151</f>
        <v>0</v>
      </c>
      <c r="AK2151" s="2">
        <f>T2151-W2151</f>
        <v>30</v>
      </c>
      <c r="AL2151" s="5">
        <f>(T2151-W2151)/T2151</f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>(T2152-W2152)/T2152</f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>AJ2152</f>
        <v>0</v>
      </c>
      <c r="AJ2152" s="2">
        <f>AI2152*T2152</f>
        <v>0</v>
      </c>
      <c r="AK2152" s="2">
        <f>T2152-W2152</f>
        <v>37.5</v>
      </c>
      <c r="AL2152" s="5">
        <f>(T2152-W2152)/T2152</f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>(T2153-W2153)/T2153</f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>AJ2153</f>
        <v>0</v>
      </c>
      <c r="AJ2153" s="2">
        <f>AI2153*T2153</f>
        <v>0</v>
      </c>
      <c r="AK2153" s="2">
        <f>T2153-W2153</f>
        <v>6.1999999999999993</v>
      </c>
      <c r="AL2153" s="5">
        <f>(T2153-W2153)/T2153</f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>(T2154-W2154)/T2154</f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>AJ2154</f>
        <v>0</v>
      </c>
      <c r="AJ2154" s="2">
        <f>AI2154*T2154</f>
        <v>0</v>
      </c>
      <c r="AK2154" s="2">
        <f>T2154-W2154</f>
        <v>10.1</v>
      </c>
      <c r="AL2154" s="5">
        <f>(T2154-W2154)/T2154</f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>(T2155-W2155)/T2155</f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>AJ2155</f>
        <v>0</v>
      </c>
      <c r="AG2155" s="2">
        <v>15.020300000000001</v>
      </c>
      <c r="AH2155" s="2">
        <v>27.6</v>
      </c>
      <c r="AJ2155" s="2">
        <f>AI2155*T2155</f>
        <v>0</v>
      </c>
      <c r="AK2155" s="2">
        <f>T2155-W2155</f>
        <v>14.959399999999999</v>
      </c>
      <c r="AL2155" s="5">
        <f>(T2155-W2155)/T2155</f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>(T2156-W2156)/T2156</f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>AJ2156</f>
        <v>0</v>
      </c>
      <c r="AG2156" s="2">
        <v>6.6266999999999996</v>
      </c>
      <c r="AH2156" s="2">
        <v>12</v>
      </c>
      <c r="AJ2156" s="2">
        <f>AI2156*T2156</f>
        <v>0</v>
      </c>
      <c r="AK2156" s="2">
        <f>T2156-W2156</f>
        <v>53.733000000000004</v>
      </c>
      <c r="AL2156" s="5">
        <f>(T2156-W2156)/T2156</f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>(T2157-W2157)/T2157</f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>AJ2157</f>
        <v>0</v>
      </c>
      <c r="AG2157" s="2">
        <v>3.7357999999999998</v>
      </c>
      <c r="AH2157" s="2">
        <v>9</v>
      </c>
      <c r="AJ2157" s="2">
        <f>AI2157*T2157</f>
        <v>0</v>
      </c>
      <c r="AK2157" s="2">
        <f>T2157-W2157</f>
        <v>4.0641999999999996</v>
      </c>
      <c r="AL2157" s="5">
        <f>(T2157-W2157)/T2157</f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>(T2158-W2158)/T2158</f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>AJ2158</f>
        <v>0</v>
      </c>
      <c r="AG2158" s="2">
        <v>7.9611999999999998</v>
      </c>
      <c r="AH2158" s="2">
        <v>14.4</v>
      </c>
      <c r="AJ2158" s="2">
        <f>AI2158*T2158</f>
        <v>0</v>
      </c>
      <c r="AK2158" s="2">
        <f>T2158-W2158</f>
        <v>7.0388000000000002</v>
      </c>
      <c r="AL2158" s="5">
        <f>(T2158-W2158)/T2158</f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>(T2159-W2159)/T2159</f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>AJ2159</f>
        <v>0</v>
      </c>
      <c r="AJ2159" s="2">
        <f>AI2159*T2159</f>
        <v>0</v>
      </c>
      <c r="AK2159" s="2">
        <f>T2159-W2159</f>
        <v>960</v>
      </c>
      <c r="AL2159" s="5">
        <f>(T2159-W2159)/T2159</f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>AJ2160</f>
        <v>0</v>
      </c>
      <c r="AJ2160" s="2">
        <f>AI2160*T2160</f>
        <v>0</v>
      </c>
      <c r="AK2160" s="2">
        <f>T2160-W2160</f>
        <v>0</v>
      </c>
      <c r="AL2160" s="5" t="e">
        <f>(T2160-W2160)/T2160</f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>(T2161-W2161)/T2161</f>
        <v>1</v>
      </c>
      <c r="Z2161" s="2" t="s">
        <v>118</v>
      </c>
      <c r="AA2161" s="2" t="s">
        <v>1312</v>
      </c>
      <c r="AF2161" s="2">
        <f>AJ2161</f>
        <v>0</v>
      </c>
      <c r="AJ2161" s="2">
        <f>AI2161*T2161</f>
        <v>0</v>
      </c>
      <c r="AK2161" s="2">
        <f>T2161-W2161</f>
        <v>402.77</v>
      </c>
      <c r="AL2161" s="5">
        <f>(T2161-W2161)/T2161</f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>(T2162-W2162)/T2162</f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>AJ2162</f>
        <v>0</v>
      </c>
      <c r="AG2162" s="2">
        <v>104.49</v>
      </c>
      <c r="AH2162" s="2">
        <v>220</v>
      </c>
      <c r="AJ2162" s="2">
        <f>AI2162*T2162</f>
        <v>0</v>
      </c>
      <c r="AK2162" s="2">
        <f>T2162-W2162</f>
        <v>104.51</v>
      </c>
      <c r="AL2162" s="5">
        <f>(T2162-W2162)/T2162</f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>(T2163-W2163)/T2163</f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>AJ2163</f>
        <v>0</v>
      </c>
      <c r="AJ2163" s="2">
        <f>AI2163*T2163</f>
        <v>0</v>
      </c>
      <c r="AK2163" s="2">
        <f>T2163-W2163</f>
        <v>0</v>
      </c>
      <c r="AL2163" s="5">
        <f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>(T2164-W2164)/T2164</f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>AJ2164</f>
        <v>0</v>
      </c>
      <c r="AJ2164" s="2">
        <f>AI2164*T2164</f>
        <v>0</v>
      </c>
      <c r="AK2164" s="2">
        <f>T2164-W2164</f>
        <v>129.14999999999998</v>
      </c>
      <c r="AL2164" s="5">
        <f>(T2164-W2164)/T2164</f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>(T2165-W2165)/T2165</f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>AJ2165</f>
        <v>0</v>
      </c>
      <c r="AJ2165" s="2">
        <f>AI2165*T2165</f>
        <v>0</v>
      </c>
      <c r="AK2165" s="2">
        <f>T2165-W2165</f>
        <v>61.875</v>
      </c>
      <c r="AL2165" s="5">
        <f>(T2165-W2165)/T2165</f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>(T2166-W2166)/T2166</f>
        <v>1</v>
      </c>
      <c r="Z2166" s="2" t="s">
        <v>120</v>
      </c>
      <c r="AA2166" s="2" t="s">
        <v>3384</v>
      </c>
      <c r="AF2166" s="2">
        <f>AJ2166</f>
        <v>0</v>
      </c>
      <c r="AJ2166" s="2">
        <f>AI2166*T2166</f>
        <v>0</v>
      </c>
      <c r="AK2166" s="2">
        <f>T2166-W2166</f>
        <v>268.12</v>
      </c>
      <c r="AL2166" s="5">
        <f>(T2166-W2166)/T2166</f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>(T2167-W2167)/T2167</f>
        <v>1</v>
      </c>
      <c r="Z2167" s="2" t="s">
        <v>118</v>
      </c>
      <c r="AF2167" s="2">
        <f>AJ2167</f>
        <v>0</v>
      </c>
      <c r="AJ2167" s="2">
        <f>AI2167*T2167</f>
        <v>0</v>
      </c>
      <c r="AK2167" s="2">
        <f>T2167-W2167</f>
        <v>26.79</v>
      </c>
      <c r="AL2167" s="5">
        <f>(T2167-W2167)/T2167</f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>(T2168-W2168)/T2168</f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>AJ2168</f>
        <v>0</v>
      </c>
      <c r="AJ2168" s="2">
        <f>AI2168*T2168</f>
        <v>0</v>
      </c>
      <c r="AK2168" s="2">
        <f>T2168-W2168</f>
        <v>59.4</v>
      </c>
      <c r="AL2168" s="5">
        <f>(T2168-W2168)/T2168</f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>(T2169-W2169)/T2169</f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>AJ2169</f>
        <v>0</v>
      </c>
      <c r="AJ2169" s="2">
        <f>AI2169*T2169</f>
        <v>0</v>
      </c>
      <c r="AK2169" s="2">
        <f>T2169-W2169</f>
        <v>25</v>
      </c>
      <c r="AL2169" s="5">
        <f>(T2169-W2169)/T2169</f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>(T2170-W2170)/T2170</f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>AJ2170</f>
        <v>0</v>
      </c>
      <c r="AJ2170" s="2">
        <f>AI2170*T2170</f>
        <v>0</v>
      </c>
      <c r="AK2170" s="2">
        <f>T2170-W2170</f>
        <v>352.72999999999996</v>
      </c>
      <c r="AL2170" s="5">
        <f>(T2170-W2170)/T2170</f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>(T2171-W2171)/T2171</f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>AJ2171</f>
        <v>0</v>
      </c>
      <c r="AJ2171" s="2">
        <f>AI2171*T2171</f>
        <v>0</v>
      </c>
      <c r="AK2171" s="2">
        <f>T2171-W2171</f>
        <v>69</v>
      </c>
      <c r="AL2171" s="5">
        <f>(T2171-W2171)/T2171</f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>AJ2172</f>
        <v>0</v>
      </c>
      <c r="AJ2172" s="2">
        <f>AI2172*T2172</f>
        <v>0</v>
      </c>
      <c r="AK2172" s="2">
        <f>T2172-W2172</f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>(T2173-W2173)/T2173</f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>AJ2173</f>
        <v>0</v>
      </c>
      <c r="AJ2173" s="2">
        <f>AI2173*T2173</f>
        <v>0</v>
      </c>
      <c r="AK2173" s="2">
        <f>T2173-W2173</f>
        <v>25.908000000000001</v>
      </c>
      <c r="AL2173" s="5">
        <f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>(T2174-W2174)/T2174</f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>AJ2174</f>
        <v>0</v>
      </c>
      <c r="AG2174" s="2">
        <v>10.6</v>
      </c>
      <c r="AH2174" s="2">
        <v>18</v>
      </c>
      <c r="AJ2174" s="2">
        <f>AI2174*T2174</f>
        <v>0</v>
      </c>
      <c r="AK2174" s="2">
        <f>T2174-W2174</f>
        <v>14.8</v>
      </c>
      <c r="AL2174" s="5">
        <f>(T2174-W2174)/T2174</f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>(T2175-W2175)/T2175</f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>AJ2175</f>
        <v>0</v>
      </c>
      <c r="AG2175" s="2">
        <v>8.1999999999999993</v>
      </c>
      <c r="AH2175" s="2">
        <v>13</v>
      </c>
      <c r="AJ2175" s="2">
        <f>AI2175*T2175</f>
        <v>0</v>
      </c>
      <c r="AK2175" s="2">
        <f>T2175-W2175</f>
        <v>4.7999999999999989</v>
      </c>
      <c r="AL2175" s="5">
        <f>(T2175-W2175)/T2175</f>
        <v>0.36923076923076914</v>
      </c>
    </row>
    <row r="2176" spans="1:38" x14ac:dyDescent="0.2">
      <c r="A2176" s="2">
        <v>2025</v>
      </c>
      <c r="B2176" s="2">
        <v>11</v>
      </c>
      <c r="C2176" s="2" t="s">
        <v>3398</v>
      </c>
      <c r="D2176" s="15" t="s">
        <v>3419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>(T2176-W2176)/T2176</f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>AJ2176</f>
        <v>0</v>
      </c>
      <c r="AJ2176" s="2">
        <f>AI2176*T2176</f>
        <v>0</v>
      </c>
      <c r="AK2176" s="2">
        <f>T2176-W2176</f>
        <v>5656.84</v>
      </c>
      <c r="AL2176" s="5">
        <f>(T2176-W2176)/T2176</f>
        <v>0.70798998748435549</v>
      </c>
    </row>
    <row r="2177" spans="1:38" x14ac:dyDescent="0.2">
      <c r="A2177" s="2">
        <v>2025</v>
      </c>
      <c r="B2177" s="2">
        <v>11</v>
      </c>
      <c r="C2177" s="2" t="s">
        <v>3398</v>
      </c>
      <c r="D2177" s="15" t="s">
        <v>3419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>(T2177-W2177)/T2177</f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>AJ2177</f>
        <v>0</v>
      </c>
      <c r="AJ2177" s="2">
        <f>AI2177*T2177</f>
        <v>0</v>
      </c>
      <c r="AK2177" s="2">
        <f>T2177-W2177</f>
        <v>3203.7911999999997</v>
      </c>
      <c r="AL2177" s="5">
        <f>(T2177-W2177)/T2177</f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>(T2178-W2178)/T2178</f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>AJ2178</f>
        <v>0</v>
      </c>
      <c r="AJ2178" s="2">
        <f>AI2178*T2178</f>
        <v>0</v>
      </c>
      <c r="AK2178" s="2">
        <f>T2178-W2178</f>
        <v>30</v>
      </c>
      <c r="AL2178" s="5">
        <f>(T2178-W2178)/T2178</f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>(T2179-W2179)/T2179</f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>AJ2179</f>
        <v>0</v>
      </c>
      <c r="AJ2179" s="2">
        <f>AI2179*T2179</f>
        <v>0</v>
      </c>
      <c r="AK2179" s="2">
        <f>T2179-W2179</f>
        <v>12.5</v>
      </c>
      <c r="AL2179" s="5">
        <f>(T2179-W2179)/T2179</f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>(T2180-W2180)/T2180</f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>AJ2180</f>
        <v>0</v>
      </c>
      <c r="AG2180" s="2">
        <v>131.93</v>
      </c>
      <c r="AH2180" s="2">
        <v>220</v>
      </c>
      <c r="AJ2180" s="2">
        <f>AI2180*T2180</f>
        <v>0</v>
      </c>
      <c r="AK2180" s="2">
        <f>T2180-W2180</f>
        <v>88.07</v>
      </c>
      <c r="AL2180" s="5">
        <f>(T2180-W2180)/T2180</f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>(T2181-W2181)/T2181</f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>AJ2181</f>
        <v>0</v>
      </c>
      <c r="AJ2181" s="2">
        <f>AI2181*T2181</f>
        <v>0</v>
      </c>
      <c r="AK2181" s="2">
        <f>T2181-W2181</f>
        <v>0</v>
      </c>
      <c r="AL2181" s="5">
        <f>(T2181-W2181)/T2181</f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>(T2182-W2182)/T2182</f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>AJ2182</f>
        <v>0</v>
      </c>
      <c r="AG2182" s="2">
        <v>6.6266999999999996</v>
      </c>
      <c r="AH2182" s="2">
        <v>12</v>
      </c>
      <c r="AJ2182" s="2">
        <f>AI2182*T2182</f>
        <v>0</v>
      </c>
      <c r="AK2182" s="2">
        <f>T2182-W2182</f>
        <v>6.3733000000000004</v>
      </c>
      <c r="AL2182" s="5">
        <f>(T2182-W2182)/T2182</f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>(T2183-W2183)/T2183</f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>AJ2183</f>
        <v>0</v>
      </c>
      <c r="AG2183" s="2">
        <v>10.6</v>
      </c>
      <c r="AH2183" s="2">
        <v>18</v>
      </c>
      <c r="AJ2183" s="2">
        <f>AI2183*T2183</f>
        <v>0</v>
      </c>
      <c r="AK2183" s="2">
        <f>T2183-W2183</f>
        <v>14.8</v>
      </c>
      <c r="AL2183" s="5">
        <f>(T2183-W2183)/T2183</f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>(T2184-W2184)/T2184</f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>AJ2184</f>
        <v>0</v>
      </c>
      <c r="AG2184" s="2">
        <v>8.1999999999999993</v>
      </c>
      <c r="AH2184" s="2">
        <v>13</v>
      </c>
      <c r="AJ2184" s="2">
        <f>AI2184*T2184</f>
        <v>0</v>
      </c>
      <c r="AK2184" s="2">
        <f>T2184-W2184</f>
        <v>4.7999999999999989</v>
      </c>
      <c r="AL2184" s="5">
        <f>(T2184-W2184)/T2184</f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>(T2185-W2185)/T2185</f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>AJ2185</f>
        <v>0</v>
      </c>
      <c r="AG2185" s="2">
        <v>7.9611999999999998</v>
      </c>
      <c r="AH2185" s="2">
        <v>14.4</v>
      </c>
      <c r="AJ2185" s="2">
        <f>AI2185*T2185</f>
        <v>0</v>
      </c>
      <c r="AK2185" s="2">
        <f>T2185-W2185</f>
        <v>6.5388000000000002</v>
      </c>
      <c r="AL2185" s="5">
        <f>(T2185-W2185)/T2185</f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>(T2186-W2186)/T2186</f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>AJ2186</f>
        <v>0</v>
      </c>
      <c r="AG2186" s="2">
        <v>117.453</v>
      </c>
      <c r="AH2186" s="2">
        <v>220</v>
      </c>
      <c r="AJ2186" s="2">
        <f>AI2186*T2186</f>
        <v>0</v>
      </c>
      <c r="AK2186" s="2">
        <f>T2186-W2186</f>
        <v>102.547</v>
      </c>
      <c r="AL2186" s="5">
        <f>(T2186-W2186)/T2186</f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>(T2187-W2187)/T2187</f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>AJ2187</f>
        <v>0</v>
      </c>
      <c r="AJ2187" s="2">
        <f>AI2187*T2187</f>
        <v>0</v>
      </c>
      <c r="AK2187" s="2">
        <f>T2187-W2187</f>
        <v>163.35000000000002</v>
      </c>
      <c r="AL2187" s="5">
        <f>(T2187-W2187)/T2187</f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>(T2188-W2188)/T2188</f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>AJ2188</f>
        <v>0</v>
      </c>
      <c r="AJ2188" s="2">
        <f>AI2188*T2188</f>
        <v>0</v>
      </c>
      <c r="AK2188" s="2">
        <f>T2188-W2188</f>
        <v>152.87</v>
      </c>
      <c r="AL2188" s="5">
        <f>(T2188-W2188)/T2188</f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>(T2189-W2189)/T2189</f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>AJ2189</f>
        <v>0</v>
      </c>
      <c r="AJ2189" s="2">
        <f>AI2189*T2189</f>
        <v>0</v>
      </c>
      <c r="AK2189" s="2">
        <f>T2189-W2189</f>
        <v>76.199999999999989</v>
      </c>
      <c r="AL2189" s="5">
        <f>(T2189-W2189)/T2189</f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>(T2190-W2190)/T2190</f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>AJ2190</f>
        <v>0</v>
      </c>
      <c r="AJ2190" s="2">
        <f>AI2190*T2190</f>
        <v>0</v>
      </c>
      <c r="AK2190" s="2">
        <f>T2190-W2190</f>
        <v>25</v>
      </c>
      <c r="AL2190" s="5">
        <f>(T2190-W2190)/T2190</f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>(T2191-W2191)/T2191</f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>AJ2191</f>
        <v>0</v>
      </c>
      <c r="AJ2191" s="2">
        <f>AI2191*T2191</f>
        <v>0</v>
      </c>
      <c r="AK2191" s="2">
        <f>T2191-W2191</f>
        <v>0</v>
      </c>
      <c r="AL2191" s="5">
        <f>(T2191-W2191)/T2191</f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>(T2192-W2192)/T2192</f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>AJ2192</f>
        <v>0</v>
      </c>
      <c r="AJ2192" s="2">
        <f>AI2192*T2192</f>
        <v>0</v>
      </c>
      <c r="AK2192" s="2">
        <f>T2192-W2192</f>
        <v>354.09659999999997</v>
      </c>
      <c r="AL2192" s="5">
        <f>(T2192-W2192)/T2192</f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>(T2193-W2193)/T2193</f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>AJ2193</f>
        <v>0</v>
      </c>
      <c r="AJ2193" s="2">
        <f>AI2193*T2193</f>
        <v>0</v>
      </c>
      <c r="AK2193" s="2">
        <f>T2193-W2193</f>
        <v>30</v>
      </c>
      <c r="AL2193" s="5">
        <f>(T2193-W2193)/T2193</f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>(T2194-W2194)/T2194</f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>AJ2194</f>
        <v>0</v>
      </c>
      <c r="AJ2194" s="2">
        <f>AI2194*T2194</f>
        <v>0</v>
      </c>
      <c r="AK2194" s="2">
        <f>T2194-W2194</f>
        <v>25</v>
      </c>
      <c r="AL2194" s="5">
        <f>(T2194-W2194)/T2194</f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>AJ2195</f>
        <v>0</v>
      </c>
      <c r="AJ2195" s="2">
        <f>AI2195*T2195</f>
        <v>0</v>
      </c>
      <c r="AK2195" s="2">
        <f>T2195-W2195</f>
        <v>298</v>
      </c>
      <c r="AL2195" s="5">
        <f>(T2195-W2195)/T2195</f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>AJ2196</f>
        <v>0</v>
      </c>
      <c r="AJ2196" s="2">
        <f>AI2196*T2196</f>
        <v>0</v>
      </c>
      <c r="AK2196" s="2">
        <f>T2196-W2196</f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>(T2197-W2197)/T2197</f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>AJ2197</f>
        <v>0</v>
      </c>
      <c r="AJ2197" s="2">
        <f>AI2197*T2197</f>
        <v>0</v>
      </c>
      <c r="AK2197" s="2">
        <f>T2197-W2197</f>
        <v>354.09659999999997</v>
      </c>
      <c r="AL2197" s="5">
        <f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>(T2198-W2198)/T2198</f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>AJ2198</f>
        <v>0</v>
      </c>
      <c r="AJ2198" s="2">
        <f>AI2198*T2198</f>
        <v>0</v>
      </c>
      <c r="AK2198" s="2">
        <f>T2198-W2198</f>
        <v>59.4</v>
      </c>
      <c r="AL2198" s="5">
        <f>(T2198-W2198)/T2198</f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>(T2199-W2199)/T2199</f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>AJ2199</f>
        <v>0</v>
      </c>
      <c r="AJ2199" s="2">
        <f>AI2199*T2199</f>
        <v>0</v>
      </c>
      <c r="AK2199" s="2">
        <f>T2199-W2199</f>
        <v>25</v>
      </c>
      <c r="AL2199" s="5">
        <f>(T2199-W2199)/T2199</f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>(T2200-W2200)/T2200</f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>AJ2200</f>
        <v>0</v>
      </c>
      <c r="AJ2200" s="2">
        <f>AI2200*T2200</f>
        <v>0</v>
      </c>
      <c r="AK2200" s="2">
        <f>T2200-W2200</f>
        <v>5.5300000000000011</v>
      </c>
      <c r="AL2200" s="5">
        <f>(T2200-W2200)/T2200</f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>(T2201-W2201)/T2201</f>
        <v>1</v>
      </c>
      <c r="Z2201" s="2" t="s">
        <v>120</v>
      </c>
      <c r="AA2201" s="2" t="s">
        <v>493</v>
      </c>
      <c r="AF2201" s="2">
        <f>AJ2201</f>
        <v>0</v>
      </c>
      <c r="AJ2201" s="2">
        <f>AI2201*T2201</f>
        <v>0</v>
      </c>
      <c r="AK2201" s="2">
        <f>T2201-W2201</f>
        <v>664.04</v>
      </c>
      <c r="AL2201" s="5">
        <f>(T2201-W2201)/T2201</f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>(T2202-W2202)/T2202</f>
        <v>1</v>
      </c>
      <c r="AF2202" s="2">
        <f>AJ2202</f>
        <v>0</v>
      </c>
      <c r="AJ2202" s="2">
        <f>AI2202*T2202</f>
        <v>0</v>
      </c>
      <c r="AK2202" s="2">
        <f>T2202-W2202</f>
        <v>725.58</v>
      </c>
      <c r="AL2202" s="5">
        <f>(T2202-W2202)/T2202</f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>(T2203-W2203)/T2203</f>
        <v>1</v>
      </c>
      <c r="Z2203" s="2" t="s">
        <v>3231</v>
      </c>
      <c r="AF2203" s="2">
        <f>AJ2203</f>
        <v>0</v>
      </c>
      <c r="AJ2203" s="2">
        <f>AI2203*T2203</f>
        <v>0</v>
      </c>
      <c r="AK2203" s="2">
        <f>T2203-W2203</f>
        <v>18.5</v>
      </c>
      <c r="AL2203" s="5">
        <f>(T2203-W2203)/T2203</f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>(T2204-W2204)/T2204</f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>AJ2204</f>
        <v>0</v>
      </c>
      <c r="AJ2204" s="2">
        <f>AI2204*T2204</f>
        <v>0</v>
      </c>
      <c r="AK2204" s="2">
        <f>T2204-W2204</f>
        <v>60.800000000000011</v>
      </c>
      <c r="AL2204" s="5">
        <f>(T2204-W2204)/T2204</f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>(T2205-W2205)/T2205</f>
        <v>1</v>
      </c>
      <c r="Z2205" s="2" t="s">
        <v>3231</v>
      </c>
      <c r="AF2205" s="2">
        <f>AJ2205</f>
        <v>0</v>
      </c>
      <c r="AJ2205" s="2">
        <f>AI2205*T2205</f>
        <v>0</v>
      </c>
      <c r="AK2205" s="2">
        <f>T2205-W2205</f>
        <v>80</v>
      </c>
      <c r="AL2205" s="5">
        <f>(T2205-W2205)/T2205</f>
        <v>1</v>
      </c>
    </row>
    <row r="2206" spans="1:38" x14ac:dyDescent="0.2">
      <c r="A2206" s="2">
        <v>2025</v>
      </c>
      <c r="B2206" s="2">
        <v>11</v>
      </c>
      <c r="C2206" s="2" t="s">
        <v>3398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>(T2206-W2206)/T2206</f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>AJ2206</f>
        <v>0</v>
      </c>
      <c r="AJ2206" s="2">
        <f>AI2206*T2206</f>
        <v>0</v>
      </c>
      <c r="AK2206" s="2">
        <f>T2206-W2206</f>
        <v>8.2949999999999999</v>
      </c>
      <c r="AL2206" s="5">
        <f>(T2206-W2206)/T2206</f>
        <v>0.35000000000000003</v>
      </c>
    </row>
    <row r="2207" spans="1:38" x14ac:dyDescent="0.2">
      <c r="A2207" s="2">
        <v>2025</v>
      </c>
      <c r="B2207" s="2">
        <v>11</v>
      </c>
      <c r="C2207" s="2" t="s">
        <v>3398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>(T2207-W2207)/T2207</f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>AJ2207</f>
        <v>0</v>
      </c>
      <c r="AJ2207" s="2">
        <f>AI2207*T2207</f>
        <v>0</v>
      </c>
      <c r="AK2207" s="2">
        <f>T2207-W2207</f>
        <v>9.84</v>
      </c>
      <c r="AL2207" s="5">
        <f>(T2207-W2207)/T2207</f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>(T2208-W2208)/T2208</f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>AJ2208</f>
        <v>0</v>
      </c>
      <c r="AJ2208" s="2">
        <f>AI2208*T2208</f>
        <v>0</v>
      </c>
      <c r="AK2208" s="2">
        <f>T2208-W2208</f>
        <v>3</v>
      </c>
      <c r="AL2208" s="5">
        <f>(T2208-W2208)/T2208</f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>(T2209-W2209)/T2209</f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>AJ2209</f>
        <v>0</v>
      </c>
      <c r="AJ2209" s="2">
        <f>AI2209*T2209</f>
        <v>0</v>
      </c>
      <c r="AK2209" s="2">
        <f>T2209-W2209</f>
        <v>11.5</v>
      </c>
      <c r="AL2209" s="5">
        <f>(T2209-W2209)/T2209</f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>(T2210-W2210)/T2210</f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>AJ2210</f>
        <v>0</v>
      </c>
      <c r="AJ2210" s="2">
        <f>AI2210*T2210</f>
        <v>0</v>
      </c>
      <c r="AK2210" s="2">
        <f>T2210-W2210</f>
        <v>9.9</v>
      </c>
      <c r="AL2210" s="5">
        <f>(T2210-W2210)/T2210</f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>(T2211-W2211)/T2211</f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>AJ2211</f>
        <v>0</v>
      </c>
      <c r="AJ2211" s="2">
        <f>AI2211*T2211</f>
        <v>0</v>
      </c>
      <c r="AK2211" s="2">
        <f>T2211-W2211</f>
        <v>9.9</v>
      </c>
      <c r="AL2211" s="5">
        <f>(T2211-W2211)/T2211</f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>(T2212-W2212)/T2212</f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>AJ2212</f>
        <v>0</v>
      </c>
      <c r="AG2212" s="2">
        <v>122.446</v>
      </c>
      <c r="AH2212" s="2">
        <v>230</v>
      </c>
      <c r="AJ2212" s="2">
        <f>AI2212*T2212</f>
        <v>0</v>
      </c>
      <c r="AK2212" s="2">
        <f>T2212-W2212</f>
        <v>107.554</v>
      </c>
      <c r="AL2212" s="5">
        <f>(T2212-W2212)/T2212</f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>(T2213-W2213)/T2213</f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>AJ2213</f>
        <v>0</v>
      </c>
      <c r="AJ2213" s="2">
        <f>AI2213*T2213</f>
        <v>0</v>
      </c>
      <c r="AK2213" s="2">
        <f>T2213-W2213</f>
        <v>0</v>
      </c>
      <c r="AL2213" s="5">
        <f>(T2213-W2213)/T2213</f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>(T2214-W2214)/T2214</f>
        <v>1</v>
      </c>
      <c r="AF2214" s="2">
        <f>AJ2214</f>
        <v>0</v>
      </c>
      <c r="AJ2214" s="2">
        <f>AI2214*T2214</f>
        <v>0</v>
      </c>
      <c r="AK2214" s="2">
        <f>T2214-W2214</f>
        <v>1411.39</v>
      </c>
      <c r="AL2214" s="5">
        <f>(T2214-W2214)/T2214</f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>(T2215-W2215)/T2215</f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>AJ2215</f>
        <v>0</v>
      </c>
      <c r="AG2215" s="2">
        <f>144.14+15.4</f>
        <v>159.54</v>
      </c>
      <c r="AH2215" s="2">
        <v>280</v>
      </c>
      <c r="AJ2215" s="2">
        <f>AI2215*T2215</f>
        <v>0</v>
      </c>
      <c r="AK2215" s="2">
        <f>T2215-W2215</f>
        <v>100.46000000000001</v>
      </c>
      <c r="AL2215" s="5">
        <f>(T2215-W2215)/T2215</f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>(T2216-W2216)/T2216</f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>AJ2216</f>
        <v>0</v>
      </c>
      <c r="AJ2216" s="2">
        <f>AI2216*T2216</f>
        <v>0</v>
      </c>
      <c r="AK2216" s="2">
        <f>T2216-W2216</f>
        <v>0</v>
      </c>
      <c r="AL2216" s="5">
        <f>(T2216-W2216)/T2216</f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>(T2217-W2217)/T2217</f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>AJ2217</f>
        <v>0</v>
      </c>
      <c r="AJ2217" s="2">
        <f>AI2217*T2217</f>
        <v>0</v>
      </c>
      <c r="AK2217" s="2">
        <f>T2217-W2217</f>
        <v>152.44</v>
      </c>
      <c r="AL2217" s="5">
        <f>(T2217-W2217)/T2217</f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>AJ2218</f>
        <v>0</v>
      </c>
      <c r="AJ2218" s="2">
        <f>AI2218*T2218</f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>(T2219-W2219)/T2219</f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>AJ2219</f>
        <v>0</v>
      </c>
      <c r="AJ2219" s="2">
        <f>AI2219*T2219</f>
        <v>0</v>
      </c>
      <c r="AK2219" s="2">
        <f>T2219-W2219</f>
        <v>0</v>
      </c>
      <c r="AL2219" s="5">
        <f>(T2219-W2219)/T2219</f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>(T2220-W2220)/T2220</f>
        <v>1</v>
      </c>
      <c r="Z2220" s="2" t="s">
        <v>105</v>
      </c>
      <c r="AF2220" s="2">
        <f>AJ2220</f>
        <v>0</v>
      </c>
      <c r="AJ2220" s="2">
        <f>AI2220*T2220</f>
        <v>0</v>
      </c>
      <c r="AK2220" s="2">
        <f>T2220-W2220</f>
        <v>8980</v>
      </c>
      <c r="AL2220" s="5">
        <f>(T2220-W2220)/T2220</f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>(T2221-W2221)/T2221</f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>AJ2221</f>
        <v>0</v>
      </c>
      <c r="AG2221" s="2">
        <v>108.6</v>
      </c>
      <c r="AJ2221" s="2">
        <f>AI2221*T2221</f>
        <v>0</v>
      </c>
      <c r="AK2221" s="2">
        <f>T2221-W2221</f>
        <v>256.65999999999997</v>
      </c>
      <c r="AL2221" s="5">
        <f>(T2221-W2221)/T2221</f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>(T2222-W2222)/T2222</f>
        <v>0.4</v>
      </c>
      <c r="Z2222" s="2" t="s">
        <v>170</v>
      </c>
      <c r="AA2222" s="2" t="s">
        <v>170</v>
      </c>
      <c r="AF2222" s="2">
        <f>AJ2222</f>
        <v>0</v>
      </c>
      <c r="AJ2222" s="2">
        <f>AI2222*T2222</f>
        <v>0</v>
      </c>
      <c r="AK2222" s="2">
        <f>T2222-W2222</f>
        <v>40</v>
      </c>
      <c r="AL2222" s="5">
        <f>(T2222-W2222)/T2222</f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>(T2223-W2223)/T2223</f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>AJ2223</f>
        <v>0</v>
      </c>
      <c r="AJ2223" s="2">
        <f>AI2223*T2223</f>
        <v>0</v>
      </c>
      <c r="AK2223" s="2">
        <f>T2223-W2223</f>
        <v>75.72</v>
      </c>
      <c r="AL2223" s="5">
        <f>(T2223-W2223)/T2223</f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>(T2224-W2224)/T2224</f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>AJ2224</f>
        <v>0</v>
      </c>
      <c r="AJ2224" s="2">
        <f>AI2224*T2224</f>
        <v>0</v>
      </c>
      <c r="AK2224" s="2">
        <f>T2224-W2224</f>
        <v>0</v>
      </c>
      <c r="AL2224" s="5">
        <f>(T2224-W2224)/T2224</f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>(T2225-W2225)/T2225</f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>AJ2225</f>
        <v>0</v>
      </c>
      <c r="AG2225" s="2">
        <v>143.91999999999999</v>
      </c>
      <c r="AJ2225" s="2">
        <f>AI2225*T2225</f>
        <v>0</v>
      </c>
      <c r="AK2225" s="2">
        <f>T2225-W2225</f>
        <v>101.08000000000001</v>
      </c>
      <c r="AL2225" s="5">
        <f>(T2225-W2225)/T2225</f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>(T2226-W2226)/T2226</f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>AJ2226</f>
        <v>0</v>
      </c>
      <c r="AG2226" s="2">
        <v>110.68</v>
      </c>
      <c r="AH2226" s="2">
        <v>210</v>
      </c>
      <c r="AJ2226" s="2">
        <f>AI2226*T2226</f>
        <v>0</v>
      </c>
      <c r="AK2226" s="2">
        <f>T2226-W2226</f>
        <v>109.32</v>
      </c>
      <c r="AL2226" s="5">
        <f>(T2226-W2226)/T2226</f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>(T2227-W2227)/T2227</f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>AJ2227</f>
        <v>0</v>
      </c>
      <c r="AG2227" s="2">
        <v>122.25</v>
      </c>
      <c r="AJ2227" s="2">
        <f>AI2227*T2227</f>
        <v>0</v>
      </c>
      <c r="AK2227" s="2">
        <f>T2227-W2227</f>
        <v>82.75</v>
      </c>
      <c r="AL2227" s="5">
        <f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>AJ2228</f>
        <v>0</v>
      </c>
      <c r="AJ2228" s="2">
        <f>AI2228*T2228</f>
        <v>0</v>
      </c>
      <c r="AK2228" s="2">
        <f>T2228-W2228</f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>(T2229-W2229)/T2229</f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>AJ2229</f>
        <v>0</v>
      </c>
      <c r="AG2229" s="2">
        <v>1.1399999999999999</v>
      </c>
      <c r="AH2229" s="2">
        <v>1.1399999999999999</v>
      </c>
      <c r="AJ2229" s="2">
        <f>AI2229*T2229</f>
        <v>0</v>
      </c>
      <c r="AK2229" s="2">
        <f>T2229-W2229</f>
        <v>0</v>
      </c>
      <c r="AL2229" s="5">
        <f>(T2229-W2229)/T2229</f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>(T2230-W2230)/T2230</f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>AJ2230</f>
        <v>0</v>
      </c>
      <c r="AG2230" s="2">
        <v>1119</v>
      </c>
      <c r="AJ2230" s="2">
        <f>AI2230*T2230</f>
        <v>0</v>
      </c>
      <c r="AK2230" s="2">
        <f>T2230-W2230</f>
        <v>479.57999999999993</v>
      </c>
      <c r="AL2230" s="5">
        <f>(T2230-W2230)/T2230</f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>(T2231-W2231)/T2231</f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>AJ2231</f>
        <v>0</v>
      </c>
      <c r="AJ2231" s="2">
        <f>AI2231*T2231</f>
        <v>0</v>
      </c>
      <c r="AK2231" s="2">
        <f>T2231-W2231</f>
        <v>3320.6000000000004</v>
      </c>
      <c r="AL2231" s="5">
        <f>(T2231-W2231)/T2231</f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E2232" s="2" t="s">
        <v>109</v>
      </c>
      <c r="F2232" s="2" t="s">
        <v>39</v>
      </c>
      <c r="L2232" s="2" t="s">
        <v>113</v>
      </c>
      <c r="M2232" s="2" t="s">
        <v>110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>(T2232-W2232)/T2232</f>
        <v>0.44138749999999999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>AJ2232</f>
        <v>0</v>
      </c>
      <c r="AJ2232" s="2">
        <f>AI2232*T2232</f>
        <v>0</v>
      </c>
      <c r="AK2232" s="2">
        <f>T2232-W2232</f>
        <v>10.593299999999999</v>
      </c>
      <c r="AL2232" s="5">
        <f>(T2232-W2232)/T2232</f>
        <v>0.44138749999999999</v>
      </c>
    </row>
    <row r="2233" spans="1:38" x14ac:dyDescent="0.2">
      <c r="A2233" s="2">
        <v>2025</v>
      </c>
      <c r="B2233" s="2">
        <v>11</v>
      </c>
      <c r="D2233" s="2" t="s">
        <v>1625</v>
      </c>
      <c r="E2233" s="2" t="s">
        <v>109</v>
      </c>
      <c r="F2233" s="2" t="s">
        <v>39</v>
      </c>
      <c r="L2233" s="2" t="s">
        <v>113</v>
      </c>
      <c r="M2233" s="2" t="s">
        <v>110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>(T2233-W2233)/T2233</f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>AJ2233</f>
        <v>0</v>
      </c>
      <c r="AJ2233" s="2">
        <f>AI2233*T2233</f>
        <v>0</v>
      </c>
      <c r="AK2233" s="2">
        <f>T2233-W2233</f>
        <v>16.8</v>
      </c>
      <c r="AL2233" s="5">
        <f>(T2233-W2233)/T2233</f>
        <v>1</v>
      </c>
    </row>
    <row r="2234" spans="1:38" x14ac:dyDescent="0.2">
      <c r="A2234" s="2">
        <v>2025</v>
      </c>
      <c r="B2234" s="2">
        <v>11</v>
      </c>
      <c r="D2234" s="2" t="s">
        <v>1625</v>
      </c>
      <c r="E2234" s="2" t="s">
        <v>109</v>
      </c>
      <c r="F2234" s="2" t="s">
        <v>39</v>
      </c>
      <c r="L2234" s="2" t="s">
        <v>113</v>
      </c>
      <c r="M2234" s="2" t="s">
        <v>110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>(T2234-W2234)/T2234</f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>AJ2234</f>
        <v>0</v>
      </c>
      <c r="AJ2234" s="2">
        <f>AI2234*T2234</f>
        <v>0</v>
      </c>
      <c r="AK2234" s="2">
        <f>T2234-W2234</f>
        <v>8.6732999999999993</v>
      </c>
      <c r="AL2234" s="5">
        <f>(T2234-W2234)/T2234</f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E2235" s="2" t="s">
        <v>109</v>
      </c>
      <c r="F2235" s="2" t="s">
        <v>39</v>
      </c>
      <c r="L2235" s="2" t="s">
        <v>113</v>
      </c>
      <c r="M2235" s="2" t="s">
        <v>110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>(T2235-W2235)/T2235</f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>AJ2235</f>
        <v>0</v>
      </c>
      <c r="AJ2235" s="2">
        <f>AI2235*T2235</f>
        <v>0</v>
      </c>
      <c r="AK2235" s="2">
        <f>T2235-W2235</f>
        <v>8.4</v>
      </c>
      <c r="AL2235" s="5">
        <f>(T2235-W2235)/T2235</f>
        <v>1</v>
      </c>
    </row>
    <row r="2236" spans="1:38" x14ac:dyDescent="0.2">
      <c r="A2236" s="2">
        <v>2025</v>
      </c>
      <c r="B2236" s="2">
        <v>11</v>
      </c>
      <c r="D2236" s="2" t="s">
        <v>1625</v>
      </c>
      <c r="E2236" s="2" t="s">
        <v>109</v>
      </c>
      <c r="F2236" s="2" t="s">
        <v>39</v>
      </c>
      <c r="L2236" s="2" t="s">
        <v>113</v>
      </c>
      <c r="M2236" s="2" t="s">
        <v>110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>(T2236-W2236)/T2236</f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>AJ2236</f>
        <v>0</v>
      </c>
      <c r="AJ2236" s="2">
        <f>AI2236*T2236</f>
        <v>0</v>
      </c>
      <c r="AK2236" s="2">
        <f>T2236-W2236</f>
        <v>12.6</v>
      </c>
      <c r="AL2236" s="5">
        <f>(T2236-W2236)/T2236</f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>(T2237-W2237)/T2237</f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>AJ2237</f>
        <v>0</v>
      </c>
      <c r="AG2237" s="2">
        <v>10.6</v>
      </c>
      <c r="AH2237" s="2">
        <v>18</v>
      </c>
      <c r="AJ2237" s="2">
        <f>AI2237*T2237</f>
        <v>0</v>
      </c>
      <c r="AK2237" s="2">
        <f>T2237-W2237</f>
        <v>34</v>
      </c>
      <c r="AL2237" s="5">
        <f>(T2237-W2237)/T2237</f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>(T2238-W2238)/T2238</f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>AJ2238</f>
        <v>0</v>
      </c>
      <c r="AG2238" s="2">
        <v>120.636</v>
      </c>
      <c r="AH2238" s="2">
        <v>220</v>
      </c>
      <c r="AJ2238" s="2">
        <f>AI2238*T2238</f>
        <v>0</v>
      </c>
      <c r="AK2238" s="2">
        <f>T2238-W2238</f>
        <v>99.364000000000004</v>
      </c>
      <c r="AL2238" s="5">
        <f>(T2238-W2238)/T2238</f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>(T2239-W2239)/T2239</f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>AJ2239</f>
        <v>0</v>
      </c>
      <c r="AJ2239" s="2">
        <f>AI2239*T2239</f>
        <v>0</v>
      </c>
      <c r="AK2239" s="2">
        <f>T2239-W2239</f>
        <v>0</v>
      </c>
      <c r="AL2239" s="5">
        <f>(T2239-W2239)/T2239</f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>(T2240-W2240)/T2240</f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>AJ2240</f>
        <v>0</v>
      </c>
      <c r="AG2240" s="2">
        <v>1.8320000000000001</v>
      </c>
      <c r="AH2240" s="2">
        <v>2.4</v>
      </c>
      <c r="AJ2240" s="2">
        <f>AI2240*T2240</f>
        <v>0</v>
      </c>
      <c r="AK2240" s="2">
        <f>T2240-W2240</f>
        <v>2.2719999999999994</v>
      </c>
      <c r="AL2240" s="5">
        <f>(T2240-W2240)/T2240</f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>(T2241-W2241)/T2241</f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>AJ2241</f>
        <v>0</v>
      </c>
      <c r="AJ2241" s="2">
        <f>AI2241*T2241</f>
        <v>0</v>
      </c>
      <c r="AK2241" s="2">
        <f>T2241-W2241</f>
        <v>9.8000000000000007</v>
      </c>
      <c r="AL2241" s="5">
        <f>(T2241-W2241)/T2241</f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>(T2242-W2242)/T2242</f>
        <v>1</v>
      </c>
      <c r="AF2242" s="2">
        <f>AJ2242</f>
        <v>0</v>
      </c>
      <c r="AJ2242" s="2">
        <f>AI2242*T2242</f>
        <v>0</v>
      </c>
      <c r="AK2242" s="2">
        <f>T2242-W2242</f>
        <v>49.71</v>
      </c>
      <c r="AL2242" s="5">
        <f>(T2242-W2242)/T2242</f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>(T2243-W2243)/T2243</f>
        <v>1</v>
      </c>
      <c r="Z2243" s="2" t="s">
        <v>105</v>
      </c>
      <c r="AC2243" s="2" t="s">
        <v>3235</v>
      </c>
      <c r="AF2243" s="2">
        <f>AJ2243</f>
        <v>0</v>
      </c>
      <c r="AJ2243" s="2">
        <f>AI2243*T2243</f>
        <v>0</v>
      </c>
      <c r="AK2243" s="2">
        <f>T2243-W2243</f>
        <v>2700</v>
      </c>
      <c r="AL2243" s="5">
        <f>(T2243-W2243)/T2243</f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>(T2244-W2244)/T2244</f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>AJ2244</f>
        <v>0</v>
      </c>
      <c r="AJ2244" s="2">
        <f>AI2244*T2244</f>
        <v>0</v>
      </c>
      <c r="AK2244" s="2">
        <f>T2244-W2244</f>
        <v>18.917999999999999</v>
      </c>
      <c r="AL2244" s="5">
        <f>(T2244-W2244)/T2244</f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>(T2245-W2245)/T2245</f>
        <v>1</v>
      </c>
      <c r="Z2245" s="2" t="s">
        <v>118</v>
      </c>
      <c r="AF2245" s="2">
        <f>AJ2245</f>
        <v>0</v>
      </c>
      <c r="AJ2245" s="2">
        <f>AI2245*T2245</f>
        <v>0</v>
      </c>
      <c r="AK2245" s="2">
        <f>T2245-W2245</f>
        <v>60.1</v>
      </c>
      <c r="AL2245" s="5">
        <f>(T2245-W2245)/T2245</f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>(T2246-W2246)/T2246</f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>AJ2246</f>
        <v>0</v>
      </c>
      <c r="AG2246" s="2">
        <v>8.1999999999999993</v>
      </c>
      <c r="AH2246" s="2">
        <v>13</v>
      </c>
      <c r="AJ2246" s="2">
        <f>AI2246*T2246</f>
        <v>0</v>
      </c>
      <c r="AK2246" s="2">
        <f>T2246-W2246</f>
        <v>23</v>
      </c>
      <c r="AL2246" s="5">
        <f>(T2246-W2246)/T2246</f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1103</v>
      </c>
      <c r="J2247" s="2" t="s">
        <v>1104</v>
      </c>
      <c r="L2247" s="2" t="s">
        <v>178</v>
      </c>
      <c r="M2247" s="2" t="s">
        <v>41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>(T2247-W2247)/T2247</f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>AJ2247</f>
        <v>0</v>
      </c>
      <c r="AG2247" s="2">
        <v>0.85609999999999997</v>
      </c>
      <c r="AH2247" s="2">
        <v>1.8</v>
      </c>
      <c r="AJ2247" s="2">
        <f>AI2247*T2247</f>
        <v>0</v>
      </c>
      <c r="AK2247" s="2">
        <f>T2247-W2247</f>
        <v>18.878</v>
      </c>
      <c r="AL2247" s="5">
        <f>(T2247-W2247)/T2247</f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1103</v>
      </c>
      <c r="J2248" s="2" t="s">
        <v>1104</v>
      </c>
      <c r="L2248" s="2" t="s">
        <v>178</v>
      </c>
      <c r="M2248" s="2" t="s">
        <v>41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>(T2248-W2248)/T2248</f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>AJ2248</f>
        <v>0</v>
      </c>
      <c r="AJ2248" s="2">
        <f>AI2248*T2248</f>
        <v>0</v>
      </c>
      <c r="AK2248" s="2">
        <f>T2248-W2248</f>
        <v>5.0460000000000012</v>
      </c>
      <c r="AL2248" s="5">
        <f>(T2248-W2248)/T2248</f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>(T2249-W2249)/T2249</f>
        <v>1</v>
      </c>
      <c r="Z2249" s="2" t="s">
        <v>105</v>
      </c>
      <c r="AF2249" s="2">
        <f>AJ2249</f>
        <v>0</v>
      </c>
      <c r="AJ2249" s="2">
        <f>AI2249*T2249</f>
        <v>0</v>
      </c>
      <c r="AK2249" s="2">
        <f>T2249-W2249</f>
        <v>6670</v>
      </c>
      <c r="AL2249" s="5">
        <f>(T2249-W2249)/T2249</f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>(T2250-W2250)/T2250</f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>AJ2250</f>
        <v>0</v>
      </c>
      <c r="AG2250" s="2">
        <f>144.14+15.4</f>
        <v>159.54</v>
      </c>
      <c r="AH2250" s="2">
        <v>280</v>
      </c>
      <c r="AJ2250" s="2">
        <f>AI2250*T2250</f>
        <v>0</v>
      </c>
      <c r="AK2250" s="2">
        <f>T2250-W2250</f>
        <v>88.860000000000014</v>
      </c>
      <c r="AL2250" s="5">
        <f>(T2250-W2250)/T2250</f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>(T2251-W2251)/T2251</f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>AJ2251</f>
        <v>0</v>
      </c>
      <c r="AJ2251" s="2">
        <f>AI2251*T2251</f>
        <v>0</v>
      </c>
      <c r="AK2251" s="2">
        <f>T2251-W2251</f>
        <v>0</v>
      </c>
      <c r="AL2251" s="5">
        <f>(T2251-W2251)/T2251</f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>(T2252-W2252)/T2252</f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>AJ2252</f>
        <v>0</v>
      </c>
      <c r="AJ2252" s="2">
        <f>AI2252*T2252</f>
        <v>0</v>
      </c>
      <c r="AK2252" s="2">
        <f>T2252-W2252</f>
        <v>25.908000000000001</v>
      </c>
      <c r="AL2252" s="5">
        <f>(T2252-W2252)/T2252</f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>(T2253-W2253)/T2253</f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>AJ2253</f>
        <v>0</v>
      </c>
      <c r="AG2253" s="2">
        <v>5.2972999999999999</v>
      </c>
      <c r="AH2253" s="2">
        <v>10.8</v>
      </c>
      <c r="AJ2253" s="2">
        <f>AI2253*T2253</f>
        <v>0</v>
      </c>
      <c r="AK2253" s="2">
        <f>T2253-W2253</f>
        <v>4.3026999999999997</v>
      </c>
      <c r="AL2253" s="5">
        <f>(T2253-W2253)/T2253</f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>(T2254-W2254)/T2254</f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>AJ2254</f>
        <v>0</v>
      </c>
      <c r="AG2254" s="2">
        <v>10.6</v>
      </c>
      <c r="AH2254" s="2">
        <v>18</v>
      </c>
      <c r="AJ2254" s="2">
        <f>AI2254*T2254</f>
        <v>0</v>
      </c>
      <c r="AK2254" s="2">
        <f>T2254-W2254</f>
        <v>34</v>
      </c>
      <c r="AL2254" s="5">
        <f>(T2254-W2254)/T2254</f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>(T2255-W2255)/T2255</f>
        <v>1</v>
      </c>
      <c r="Z2255" s="2" t="s">
        <v>105</v>
      </c>
      <c r="AF2255" s="2">
        <f>AJ2255</f>
        <v>0</v>
      </c>
      <c r="AJ2255" s="2">
        <f>AI2255*T2255</f>
        <v>0</v>
      </c>
      <c r="AK2255" s="2">
        <f>T2255-W2255</f>
        <v>2190</v>
      </c>
      <c r="AL2255" s="5">
        <f>(T2255-W2255)/T2255</f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>(T2256-W2256)/T2256</f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>AJ2256</f>
        <v>0</v>
      </c>
      <c r="AG2256" s="2">
        <v>10.6</v>
      </c>
      <c r="AH2256" s="2">
        <v>18</v>
      </c>
      <c r="AJ2256" s="2">
        <f>AI2256*T2256</f>
        <v>0</v>
      </c>
      <c r="AK2256" s="2">
        <f>T2256-W2256</f>
        <v>34</v>
      </c>
      <c r="AL2256" s="5">
        <f>(T2256-W2256)/T2256</f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>(T2257-W2257)/T2257</f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>AJ2257</f>
        <v>0</v>
      </c>
      <c r="AG2257" s="2">
        <v>8.1999999999999993</v>
      </c>
      <c r="AH2257" s="2">
        <v>13</v>
      </c>
      <c r="AJ2257" s="2">
        <f>AI2257*T2257</f>
        <v>0</v>
      </c>
      <c r="AK2257" s="2">
        <f>T2257-W2257</f>
        <v>23</v>
      </c>
      <c r="AL2257" s="5">
        <f>(T2257-W2257)/T2257</f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>(T2258-W2258)/T2258</f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>AJ2258</f>
        <v>0</v>
      </c>
      <c r="AJ2258" s="2">
        <f>AI2258*T2258</f>
        <v>0</v>
      </c>
      <c r="AK2258" s="2">
        <f>T2258-W2258</f>
        <v>21</v>
      </c>
      <c r="AL2258" s="5">
        <f>(T2258-W2258)/T2258</f>
        <v>1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>AJ2259</f>
        <v>0</v>
      </c>
      <c r="AJ2259" s="2">
        <f>AI2259*T2259</f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>AJ2260</f>
        <v>0</v>
      </c>
      <c r="AG2260" s="2">
        <v>111.98</v>
      </c>
      <c r="AH2260" s="2">
        <v>210</v>
      </c>
      <c r="AJ2260" s="2">
        <f>AI2260*T2260</f>
        <v>0</v>
      </c>
      <c r="AK2260" s="2">
        <f>T2260-W2260</f>
        <v>91.719999999999985</v>
      </c>
      <c r="AL2260" s="5">
        <f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>AJ2261</f>
        <v>0</v>
      </c>
      <c r="AJ2261" s="2">
        <f>AI2261*T2261</f>
        <v>0</v>
      </c>
      <c r="AK2261" s="2">
        <f>T2261-W2261</f>
        <v>0</v>
      </c>
      <c r="AL2261" s="5" t="e">
        <f>(T2261-W2261)/T2261</f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>(T2262-W2262)/T2262</f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>AJ2262</f>
        <v>0</v>
      </c>
      <c r="AJ2262" s="2">
        <f>AI2262*T2262</f>
        <v>0</v>
      </c>
      <c r="AK2262" s="2">
        <f>T2262-W2262</f>
        <v>9.6419999999999995</v>
      </c>
      <c r="AL2262" s="5">
        <f>(T2262-W2262)/T2262</f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>(T2263-W2263)/T2263</f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>AJ2263</f>
        <v>0</v>
      </c>
      <c r="AJ2263" s="2">
        <f>AI2263*T2263</f>
        <v>0</v>
      </c>
      <c r="AK2263" s="2">
        <f>T2263-W2263</f>
        <v>3.1399999999999997</v>
      </c>
      <c r="AL2263" s="5">
        <f>(T2263-W2263)/T2263</f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>(T2264-W2264)/T2264</f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>AJ2264</f>
        <v>0</v>
      </c>
      <c r="AJ2264" s="2">
        <f>AI2264*T2264</f>
        <v>0</v>
      </c>
      <c r="AK2264" s="2">
        <f>T2264-W2264</f>
        <v>29.360000000000007</v>
      </c>
      <c r="AL2264" s="5">
        <f>(T2264-W2264)/T2264</f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>(T2265-W2265)/T2265</f>
        <v>1</v>
      </c>
      <c r="Z2265" s="2" t="s">
        <v>118</v>
      </c>
      <c r="AF2265" s="2">
        <f>AJ2265</f>
        <v>0</v>
      </c>
      <c r="AJ2265" s="2">
        <f>AI2265*T2265</f>
        <v>0</v>
      </c>
      <c r="AK2265" s="2">
        <f>T2265-W2265</f>
        <v>1066.25</v>
      </c>
      <c r="AL2265" s="5">
        <f>(T2265-W2265)/T2265</f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>(T2266-W2266)/T2266</f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>AJ2266</f>
        <v>0</v>
      </c>
      <c r="AJ2266" s="2">
        <f>AI2266*T2266</f>
        <v>0</v>
      </c>
      <c r="AK2266" s="2">
        <f>T2266-W2266</f>
        <v>30</v>
      </c>
      <c r="AL2266" s="5">
        <f>(T2266-W2266)/T2266</f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>(T2267-W2267)/T2267</f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>AJ2267</f>
        <v>0</v>
      </c>
      <c r="AJ2267" s="2">
        <f>AI2267*T2267</f>
        <v>0</v>
      </c>
      <c r="AK2267" s="2">
        <f>T2267-W2267</f>
        <v>25</v>
      </c>
      <c r="AL2267" s="5">
        <f>(T2267-W2267)/T2267</f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>(T2268-W2268)/T2268</f>
        <v>0.5</v>
      </c>
      <c r="Z2268" s="2" t="s">
        <v>105</v>
      </c>
      <c r="AC2268" s="2" t="s">
        <v>3235</v>
      </c>
      <c r="AF2268" s="2">
        <f>AJ2268</f>
        <v>0</v>
      </c>
      <c r="AJ2268" s="2">
        <f>AI2268*T2268</f>
        <v>0</v>
      </c>
      <c r="AK2268" s="2">
        <f>T2268-W2268</f>
        <v>1174.7950000000001</v>
      </c>
      <c r="AL2268" s="5">
        <f>(T2268-W2268)/T2268</f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>(T2269-W2269)/T2269</f>
        <v>1</v>
      </c>
      <c r="AF2269" s="2">
        <f>AJ2269</f>
        <v>0</v>
      </c>
      <c r="AJ2269" s="2">
        <f>AI2269*T2269</f>
        <v>0</v>
      </c>
      <c r="AK2269" s="2">
        <f>T2269-W2269</f>
        <v>79.819999999999993</v>
      </c>
      <c r="AL2269" s="5">
        <f>(T2269-W2269)/T2269</f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>(T2270-W2270)/T2270</f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>AJ2270</f>
        <v>0</v>
      </c>
      <c r="AG2270" s="2">
        <v>8.1999999999999993</v>
      </c>
      <c r="AH2270" s="2">
        <v>13</v>
      </c>
      <c r="AJ2270" s="2">
        <f>AI2270*T2270</f>
        <v>0</v>
      </c>
      <c r="AK2270" s="2">
        <f>T2270-W2270</f>
        <v>23</v>
      </c>
      <c r="AL2270" s="5">
        <f>(T2270-W2270)/T2270</f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>(T2271-W2271)/T2271</f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>AJ2271</f>
        <v>0</v>
      </c>
      <c r="AJ2271" s="2">
        <f>AI2271*T2271</f>
        <v>0</v>
      </c>
      <c r="AK2271" s="2">
        <f>T2271-W2271</f>
        <v>103.16999999999999</v>
      </c>
      <c r="AL2271" s="5">
        <f>(T2271-W2271)/T2271</f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>(T2272-W2272)/T2272</f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>AJ2272</f>
        <v>0</v>
      </c>
      <c r="AJ2272" s="2">
        <f>AI2272*T2272</f>
        <v>0</v>
      </c>
      <c r="AK2272" s="2">
        <f>T2272-W2272</f>
        <v>0</v>
      </c>
      <c r="AL2272" s="5">
        <f>(T2272-W2272)/T2272</f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>(T2273-W2273)/T2273</f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>AJ2273</f>
        <v>0</v>
      </c>
      <c r="AJ2273" s="2">
        <f>AI2273*T2273</f>
        <v>0</v>
      </c>
      <c r="AK2273" s="2">
        <f>T2273-W2273</f>
        <v>82.8</v>
      </c>
      <c r="AL2273" s="5">
        <f>(T2273-W2273)/T2273</f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>(T2274-W2274)/T2274</f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>AJ2274</f>
        <v>0</v>
      </c>
      <c r="AJ2274" s="2">
        <f>AI2274*T2274</f>
        <v>0</v>
      </c>
      <c r="AK2274" s="2">
        <f>T2274-W2274</f>
        <v>50</v>
      </c>
      <c r="AL2274" s="5">
        <f>(T2274-W2274)/T2274</f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>(T2275-W2275)/T2275</f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>AJ2275</f>
        <v>0</v>
      </c>
      <c r="AJ2275" s="2">
        <f>AI2275*T2275</f>
        <v>0</v>
      </c>
      <c r="AK2275" s="2">
        <f>T2275-W2275</f>
        <v>37.835999999999999</v>
      </c>
      <c r="AL2275" s="5">
        <f>(T2275-W2275)/T2275</f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>(T2276-W2276)/T2276</f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>AJ2276</f>
        <v>0</v>
      </c>
      <c r="AJ2276" s="2">
        <f>AI2276*T2276</f>
        <v>0</v>
      </c>
      <c r="AK2276" s="2">
        <f>T2276-W2276</f>
        <v>30</v>
      </c>
      <c r="AL2276" s="5">
        <f>(T2276-W2276)/T2276</f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>(T2277-W2277)/T2277</f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>AJ2277</f>
        <v>0</v>
      </c>
      <c r="AJ2277" s="2">
        <f>AI2277*T2277</f>
        <v>0</v>
      </c>
      <c r="AK2277" s="2">
        <f>T2277-W2277</f>
        <v>25</v>
      </c>
      <c r="AL2277" s="5">
        <f>(T2277-W2277)/T2277</f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>T2278</f>
        <v>96</v>
      </c>
      <c r="W2278" s="2">
        <f>6.6267*S2278</f>
        <v>53.013599999999997</v>
      </c>
      <c r="X2278" s="5">
        <f>(T2278-W2278)/T2278</f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>AJ2278</f>
        <v>0</v>
      </c>
      <c r="AG2278" s="2">
        <v>6.6266999999999996</v>
      </c>
      <c r="AH2278" s="2">
        <v>12</v>
      </c>
      <c r="AJ2278" s="2">
        <f>AI2278*T2278</f>
        <v>0</v>
      </c>
      <c r="AK2278" s="2">
        <f>T2278-W2278</f>
        <v>42.986400000000003</v>
      </c>
      <c r="AL2278" s="5">
        <f>(T2278-W2278)/T2278</f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>T2279</f>
        <v>7.8</v>
      </c>
      <c r="W2279" s="2">
        <f>3.7358*S2279</f>
        <v>3.7357999999999998</v>
      </c>
      <c r="X2279" s="5">
        <f>(T2279-W2279)/T2279</f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>AJ2279</f>
        <v>0</v>
      </c>
      <c r="AG2279" s="2">
        <v>3.7357999999999998</v>
      </c>
      <c r="AH2279" s="2">
        <v>9</v>
      </c>
      <c r="AJ2279" s="2">
        <f>AI2279*T2279</f>
        <v>0</v>
      </c>
      <c r="AK2279" s="2">
        <f>T2279-W2279</f>
        <v>4.0641999999999996</v>
      </c>
      <c r="AL2279" s="5">
        <f>(T2279-W2279)/T2279</f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>T2280</f>
        <v>19.2</v>
      </c>
      <c r="W2280" s="2">
        <f>5.2973*S2280</f>
        <v>10.5946</v>
      </c>
      <c r="X2280" s="5">
        <f>(T2280-W2280)/T2280</f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>AJ2280</f>
        <v>0</v>
      </c>
      <c r="AG2280" s="2">
        <v>5.2972999999999999</v>
      </c>
      <c r="AH2280" s="2">
        <v>10.8</v>
      </c>
      <c r="AJ2280" s="2">
        <f>AI2280*T2280</f>
        <v>0</v>
      </c>
      <c r="AK2280" s="2">
        <f>T2280-W2280</f>
        <v>8.6053999999999995</v>
      </c>
      <c r="AL2280" s="5">
        <f>(T2280-W2280)/T2280</f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>T2281</f>
        <v>12</v>
      </c>
      <c r="W2281" s="2">
        <v>5.9066999999999998</v>
      </c>
      <c r="X2281" s="5">
        <f>(T2281-W2281)/T2281</f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>AJ2281</f>
        <v>0</v>
      </c>
      <c r="AG2281" s="2">
        <v>5.9066999999999998</v>
      </c>
      <c r="AH2281" s="2">
        <v>12.6</v>
      </c>
      <c r="AJ2281" s="2">
        <f>AI2281*T2281</f>
        <v>0</v>
      </c>
      <c r="AK2281" s="2">
        <f>T2281-W2281</f>
        <v>6.0933000000000002</v>
      </c>
      <c r="AL2281" s="5">
        <f>(T2281-W2281)/T2281</f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>T2282</f>
        <v>13.2</v>
      </c>
      <c r="W2282" s="2">
        <v>7.2217000000000002</v>
      </c>
      <c r="X2282" s="5">
        <f>(T2282-W2282)/T2282</f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>AJ2282</f>
        <v>0</v>
      </c>
      <c r="AG2282" s="2">
        <v>7.2217000000000002</v>
      </c>
      <c r="AH2282" s="2">
        <v>14.4</v>
      </c>
      <c r="AJ2282" s="2">
        <f>AI2282*T2282</f>
        <v>0</v>
      </c>
      <c r="AK2282" s="2">
        <f>T2282-W2282</f>
        <v>5.9782999999999991</v>
      </c>
      <c r="AL2282" s="5">
        <f>(T2282-W2282)/T2282</f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>T2283</f>
        <v>19.8</v>
      </c>
      <c r="X2283" s="5">
        <f>(T2283-W2283)/T2283</f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>AJ2283</f>
        <v>0</v>
      </c>
      <c r="AJ2283" s="2">
        <f>AI2283*T2283</f>
        <v>0</v>
      </c>
      <c r="AK2283" s="2">
        <f>T2283-W2283</f>
        <v>19.8</v>
      </c>
      <c r="AL2283" s="5">
        <f>(T2283-W2283)/T2283</f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>T2284</f>
        <v>24</v>
      </c>
      <c r="W2284" s="2">
        <f>13.4067*S2284</f>
        <v>13.406700000000001</v>
      </c>
      <c r="X2284" s="5">
        <f>(T2284-W2284)/T2284</f>
        <v>0.44138749999999999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>AJ2284</f>
        <v>0</v>
      </c>
      <c r="AJ2284" s="2">
        <f>AI2284*T2284</f>
        <v>0</v>
      </c>
      <c r="AK2284" s="2">
        <f>T2284-W2284</f>
        <v>10.593299999999999</v>
      </c>
      <c r="AL2284" s="5">
        <f>(T2284-W2284)/T2284</f>
        <v>0.44138749999999999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>T2285</f>
        <v>28.8</v>
      </c>
      <c r="W2285" s="2">
        <f>16.2249*S2285</f>
        <v>16.224900000000002</v>
      </c>
      <c r="X2285" s="5">
        <f>(T2285-W2285)/T2285</f>
        <v>0.43663541666666661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>AJ2285</f>
        <v>0</v>
      </c>
      <c r="AJ2285" s="2">
        <f>AI2285*T2285</f>
        <v>0</v>
      </c>
      <c r="AK2285" s="2">
        <f>T2285-W2285</f>
        <v>12.575099999999999</v>
      </c>
      <c r="AL2285" s="5">
        <f>(T2285-W2285)/T2285</f>
        <v>0.43663541666666661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>T2286</f>
        <v>16.8</v>
      </c>
      <c r="X2286" s="5">
        <f>(T2286-W2286)/T2286</f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>AJ2286</f>
        <v>0</v>
      </c>
      <c r="AJ2286" s="2">
        <f>AI2286*T2286</f>
        <v>0</v>
      </c>
      <c r="AK2286" s="2">
        <f>T2286-W2286</f>
        <v>16.8</v>
      </c>
      <c r="AL2286" s="5">
        <f>(T2286-W2286)/T2286</f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>T2287</f>
        <v>19.2</v>
      </c>
      <c r="X2287" s="5">
        <f>(T2287-W2287)/T2287</f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>AJ2287</f>
        <v>0</v>
      </c>
      <c r="AJ2287" s="2">
        <f>AI2287*T2287</f>
        <v>0</v>
      </c>
      <c r="AK2287" s="2">
        <f>T2287-W2287</f>
        <v>19.2</v>
      </c>
      <c r="AL2287" s="5">
        <f>(T2287-W2287)/T2287</f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>T2288</f>
        <v>22.2</v>
      </c>
      <c r="X2288" s="5">
        <f>(T2288-W2288)/T2288</f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>AJ2288</f>
        <v>0</v>
      </c>
      <c r="AJ2288" s="2">
        <f>AI2288*T2288</f>
        <v>0</v>
      </c>
      <c r="AK2288" s="2">
        <f>T2288-W2288</f>
        <v>22.2</v>
      </c>
      <c r="AL2288" s="5">
        <f>(T2288-W2288)/T2288</f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>T2289</f>
        <v>105</v>
      </c>
      <c r="W2289" s="2">
        <f>0.082*S2289</f>
        <v>82</v>
      </c>
      <c r="X2289" s="5">
        <f>(T2289-W2289)/T2289</f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>AJ2289</f>
        <v>0</v>
      </c>
      <c r="AG2289" s="2">
        <v>8.1999999999999993</v>
      </c>
      <c r="AH2289" s="2">
        <v>13</v>
      </c>
      <c r="AJ2289" s="2">
        <f>AI2289*T2289</f>
        <v>0</v>
      </c>
      <c r="AK2289" s="2">
        <f>T2289-W2289</f>
        <v>23</v>
      </c>
      <c r="AL2289" s="5">
        <f>(T2289-W2289)/T2289</f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>T2290</f>
        <v>24</v>
      </c>
      <c r="W2290" s="2">
        <f>11*S2290</f>
        <v>11</v>
      </c>
      <c r="X2290" s="5">
        <f>(T2290-W2290)/T2290</f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>AJ2290</f>
        <v>0</v>
      </c>
      <c r="AJ2290" s="2">
        <f>AI2290*T2290</f>
        <v>0</v>
      </c>
      <c r="AK2290" s="2">
        <f>T2290-W2290</f>
        <v>13</v>
      </c>
      <c r="AL2290" s="5">
        <f>(T2290-W2290)/T2290</f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>T2291</f>
        <v>26.4</v>
      </c>
      <c r="W2291" s="2">
        <f>15.0203*S2291</f>
        <v>15.020300000000001</v>
      </c>
      <c r="X2291" s="5">
        <f>(T2291-W2291)/T2291</f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>AJ2291</f>
        <v>0</v>
      </c>
      <c r="AG2291" s="2">
        <v>15.020300000000001</v>
      </c>
      <c r="AH2291" s="2">
        <v>27.6</v>
      </c>
      <c r="AJ2291" s="2">
        <f>AI2291*T2291</f>
        <v>0</v>
      </c>
      <c r="AK2291" s="2">
        <f>T2291-W2291</f>
        <v>11.379699999999998</v>
      </c>
      <c r="AL2291" s="5">
        <f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>T2292</f>
        <v>10.199999999999999</v>
      </c>
      <c r="W2292" s="2">
        <v>6.86</v>
      </c>
      <c r="X2292" s="5">
        <f>(T2292-W2292)/T2292</f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>AJ2292</f>
        <v>0</v>
      </c>
      <c r="AJ2292" s="2">
        <f>AI2292*T2292</f>
        <v>0</v>
      </c>
      <c r="AK2292" s="2">
        <f>T2292-W2292</f>
        <v>3.339999999999999</v>
      </c>
      <c r="AL2292" s="5">
        <f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>T2293</f>
        <v>6</v>
      </c>
      <c r="W2293" s="2">
        <v>2.94</v>
      </c>
      <c r="X2293" s="5">
        <f>(T2293-W2293)/T2293</f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>AJ2293</f>
        <v>0</v>
      </c>
      <c r="AJ2293" s="2">
        <f>AI2293*T2293</f>
        <v>0</v>
      </c>
      <c r="AK2293" s="2">
        <f>T2293-W2293</f>
        <v>3.06</v>
      </c>
      <c r="AL2293" s="5">
        <f>(T2293-W2293)/T2293</f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>(T2294-W2294)/T2294</f>
        <v>1</v>
      </c>
      <c r="Z2294" s="2" t="s">
        <v>3231</v>
      </c>
      <c r="AF2294" s="2">
        <f>AJ2294</f>
        <v>0</v>
      </c>
      <c r="AJ2294" s="2">
        <f>AI2294*T2294</f>
        <v>0</v>
      </c>
      <c r="AK2294" s="2">
        <f>T2294-W2294</f>
        <v>30</v>
      </c>
      <c r="AL2294" s="5">
        <f>(T2294-W2294)/T2294</f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>(T2295-W2295)/T2295</f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>AJ2295</f>
        <v>0</v>
      </c>
      <c r="AJ2295" s="2">
        <f>AI2295*T2295</f>
        <v>0</v>
      </c>
      <c r="AK2295" s="2">
        <f>T2295-W2295</f>
        <v>7.8000000000000043</v>
      </c>
      <c r="AL2295" s="5">
        <f>(T2295-W2295)/T2295</f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>(T2296-W2296)/T2296</f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>AJ2296</f>
        <v>0</v>
      </c>
      <c r="AJ2296" s="2">
        <f>AI2296*T2296</f>
        <v>0</v>
      </c>
      <c r="AK2296" s="2">
        <f>T2296-W2296</f>
        <v>7.8000000000000043</v>
      </c>
      <c r="AL2296" s="5">
        <f>(T2296-W2296)/T2296</f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>(T2297-W2297)/T2297</f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>AJ2297</f>
        <v>0</v>
      </c>
      <c r="AG2297" s="2">
        <v>9.3000000000000007</v>
      </c>
      <c r="AH2297" s="2">
        <v>21</v>
      </c>
      <c r="AJ2297" s="2">
        <f>AI2297*T2297</f>
        <v>0</v>
      </c>
      <c r="AK2297" s="2">
        <f>T2297-W2297</f>
        <v>18.600000000000001</v>
      </c>
      <c r="AL2297" s="5">
        <f>(T2297-W2297)/T2297</f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>(T2298-W2298)/T2298</f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>AJ2298</f>
        <v>0</v>
      </c>
      <c r="AJ2298" s="2">
        <f>AI2298*T2298</f>
        <v>0</v>
      </c>
      <c r="AK2298" s="2">
        <f>T2298-W2298</f>
        <v>11.2</v>
      </c>
      <c r="AL2298" s="5">
        <f>(T2298-W2298)/T2298</f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>(T2299-W2299)/T2299</f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>AJ2299</f>
        <v>0</v>
      </c>
      <c r="AG2299" s="2">
        <v>3.7357999999999998</v>
      </c>
      <c r="AH2299" s="2">
        <v>9</v>
      </c>
      <c r="AJ2299" s="2">
        <f>AI2299*T2299</f>
        <v>0</v>
      </c>
      <c r="AK2299" s="2">
        <f>T2299-W2299</f>
        <v>12.192599999999999</v>
      </c>
      <c r="AL2299" s="5">
        <f>(T2299-W2299)/T2299</f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>(T2300-W2300)/T2300</f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>AJ2300</f>
        <v>0</v>
      </c>
      <c r="AG2300" s="2">
        <v>10.6</v>
      </c>
      <c r="AH2300" s="2">
        <v>18</v>
      </c>
      <c r="AJ2300" s="2">
        <f>AI2300*T2300</f>
        <v>0</v>
      </c>
      <c r="AK2300" s="2">
        <f>T2300-W2300</f>
        <v>52</v>
      </c>
      <c r="AL2300" s="5">
        <f>(T2300-W2300)/T2300</f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>(T2301-W2301)/T2301</f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>AJ2301</f>
        <v>0</v>
      </c>
      <c r="AG2301" s="2">
        <v>113.33</v>
      </c>
      <c r="AH2301" s="2">
        <v>220</v>
      </c>
      <c r="AJ2301" s="2">
        <f>AI2301*T2301</f>
        <v>0</v>
      </c>
      <c r="AK2301" s="2">
        <f>T2301-W2301</f>
        <v>145.69</v>
      </c>
      <c r="AL2301" s="5">
        <f>(T2301-W2301)/T2301</f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>(T2302-W2302)/T2302</f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>AJ2302</f>
        <v>0</v>
      </c>
      <c r="AJ2302" s="2">
        <f>AI2302*T2302</f>
        <v>0</v>
      </c>
      <c r="AK2302" s="2">
        <f>T2302-W2302</f>
        <v>226.87</v>
      </c>
      <c r="AL2302" s="5">
        <f>(T2302-W2302)/T2302</f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3390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>(T2303-W2303)/T2303</f>
        <v>0</v>
      </c>
      <c r="Z2303" s="2" t="s">
        <v>3231</v>
      </c>
      <c r="AA2303" s="2" t="s">
        <v>2171</v>
      </c>
      <c r="AB2303" s="2" t="s">
        <v>2251</v>
      </c>
      <c r="AC2303" s="2" t="s">
        <v>3390</v>
      </c>
      <c r="AF2303" s="2">
        <f>AJ2303</f>
        <v>0</v>
      </c>
      <c r="AJ2303" s="2">
        <f>AI2303*T2303</f>
        <v>0</v>
      </c>
      <c r="AK2303" s="2">
        <f>T2303-W2303</f>
        <v>0</v>
      </c>
      <c r="AL2303" s="5">
        <f>(T2303-W2303)/T2303</f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3391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>(T2304-W2304)/T2304</f>
        <v>0</v>
      </c>
      <c r="Z2304" s="2" t="s">
        <v>3231</v>
      </c>
      <c r="AA2304" s="2" t="s">
        <v>1043</v>
      </c>
      <c r="AB2304" s="2" t="s">
        <v>1272</v>
      </c>
      <c r="AC2304" s="2" t="s">
        <v>3391</v>
      </c>
      <c r="AF2304" s="2">
        <f>AJ2304</f>
        <v>0</v>
      </c>
      <c r="AJ2304" s="2">
        <f>AI2304*T2304</f>
        <v>0</v>
      </c>
      <c r="AK2304" s="2">
        <f>T2304-W2304</f>
        <v>0</v>
      </c>
      <c r="AL2304" s="5">
        <f>(T2304-W2304)/T2304</f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3391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>(T2305-W2305)/T2305</f>
        <v>0</v>
      </c>
      <c r="Z2305" s="2" t="s">
        <v>3231</v>
      </c>
      <c r="AA2305" s="2" t="s">
        <v>1043</v>
      </c>
      <c r="AB2305" s="2" t="s">
        <v>1272</v>
      </c>
      <c r="AC2305" s="2" t="s">
        <v>3391</v>
      </c>
      <c r="AF2305" s="2">
        <f>AJ2305</f>
        <v>0</v>
      </c>
      <c r="AJ2305" s="2">
        <f>AI2305*T2305</f>
        <v>0</v>
      </c>
      <c r="AK2305" s="2">
        <f>T2305-W2305</f>
        <v>0</v>
      </c>
      <c r="AL2305" s="5">
        <f>(T2305-W2305)/T2305</f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3391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>(T2306-W2306)/T2306</f>
        <v>0</v>
      </c>
      <c r="Z2306" s="2" t="s">
        <v>3231</v>
      </c>
      <c r="AA2306" s="2" t="s">
        <v>1043</v>
      </c>
      <c r="AB2306" s="2" t="s">
        <v>1272</v>
      </c>
      <c r="AC2306" s="2" t="s">
        <v>3391</v>
      </c>
      <c r="AF2306" s="2">
        <f>AJ2306</f>
        <v>0</v>
      </c>
      <c r="AJ2306" s="2">
        <f>AI2306*T2306</f>
        <v>0</v>
      </c>
      <c r="AK2306" s="2">
        <f>T2306-W2306</f>
        <v>0</v>
      </c>
      <c r="AL2306" s="5">
        <f>(T2306-W2306)/T2306</f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3390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>(T2307-W2307)/T2307</f>
        <v>0</v>
      </c>
      <c r="Z2307" s="2" t="s">
        <v>3231</v>
      </c>
      <c r="AA2307" s="2" t="s">
        <v>2171</v>
      </c>
      <c r="AB2307" s="2" t="s">
        <v>2251</v>
      </c>
      <c r="AC2307" s="2" t="s">
        <v>3390</v>
      </c>
      <c r="AF2307" s="2">
        <f>AJ2307</f>
        <v>0</v>
      </c>
      <c r="AJ2307" s="2">
        <f>AI2307*T2307</f>
        <v>0</v>
      </c>
      <c r="AK2307" s="2">
        <f>T2307-W2307</f>
        <v>0</v>
      </c>
      <c r="AL2307" s="5">
        <f>(T2307-W2307)/T2307</f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>(T2308-W2308)/T2308</f>
        <v>0.23333333333333334</v>
      </c>
      <c r="Z2308" s="2" t="s">
        <v>170</v>
      </c>
      <c r="AA2308" s="2" t="s">
        <v>170</v>
      </c>
      <c r="AF2308" s="2">
        <f>AJ2308</f>
        <v>0</v>
      </c>
      <c r="AJ2308" s="2">
        <f>AI2308*T2308</f>
        <v>0</v>
      </c>
      <c r="AK2308" s="2">
        <f>T2308-W2308</f>
        <v>7</v>
      </c>
      <c r="AL2308" s="5">
        <f>(T2308-W2308)/T2308</f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>(T2309-W2309)/T2309</f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>AJ2309</f>
        <v>0</v>
      </c>
      <c r="AJ2309" s="2">
        <f>AI2309*T2309</f>
        <v>0</v>
      </c>
      <c r="AK2309" s="2">
        <f>T2309-W2309</f>
        <v>0</v>
      </c>
      <c r="AL2309" s="5">
        <f>(T2309-W2309)/T2309</f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>(T2310-W2310)/T2310</f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>AJ2310</f>
        <v>0</v>
      </c>
      <c r="AJ2310" s="2">
        <f>AI2310*T2310</f>
        <v>0</v>
      </c>
      <c r="AK2310" s="2">
        <f>T2310-W2310</f>
        <v>545.75549999999998</v>
      </c>
      <c r="AL2310" s="5">
        <f>(T2310-W2310)/T2310</f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>(T2311-W2311)/T2311</f>
        <v>1</v>
      </c>
      <c r="Z2311" s="2" t="s">
        <v>105</v>
      </c>
      <c r="AA2311" s="2" t="s">
        <v>617</v>
      </c>
      <c r="AC2311" s="2" t="s">
        <v>115</v>
      </c>
      <c r="AF2311" s="2">
        <f>AJ2311</f>
        <v>0</v>
      </c>
      <c r="AJ2311" s="2">
        <f>AI2311*T2311</f>
        <v>0</v>
      </c>
      <c r="AK2311" s="2">
        <f>T2311-W2311</f>
        <v>4599</v>
      </c>
      <c r="AL2311" s="5">
        <f>(T2311-W2311)/T2311</f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>(T2312-W2312)/T2312</f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>AJ2312</f>
        <v>0</v>
      </c>
      <c r="AJ2312" s="2">
        <f>AI2312*T2312</f>
        <v>0</v>
      </c>
      <c r="AK2312" s="2">
        <f>T2312-W2312</f>
        <v>754.875</v>
      </c>
      <c r="AL2312" s="5">
        <f>(T2312-W2312)/T2312</f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>(T2313-W2313)/T2313</f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>AJ2313</f>
        <v>0</v>
      </c>
      <c r="AJ2313" s="2">
        <f>AI2313*T2313</f>
        <v>0</v>
      </c>
      <c r="AK2313" s="2">
        <f>T2313-W2313</f>
        <v>2100</v>
      </c>
      <c r="AL2313" s="5">
        <f>(T2313-W2313)/T2313</f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>(T2314-W2314)/T2314</f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>AJ2314</f>
        <v>0</v>
      </c>
      <c r="AJ2314" s="2">
        <f>AI2314*T2314</f>
        <v>0</v>
      </c>
      <c r="AK2314" s="2">
        <f>T2314-W2314</f>
        <v>2750</v>
      </c>
      <c r="AL2314" s="5">
        <f>(T2314-W2314)/T2314</f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>(T2315-W2315)/T2315</f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>AJ2315</f>
        <v>0</v>
      </c>
      <c r="AJ2315" s="2">
        <f>AI2315*T2315</f>
        <v>0</v>
      </c>
      <c r="AK2315" s="2">
        <f>T2315-W2315</f>
        <v>500</v>
      </c>
      <c r="AL2315" s="5">
        <f>(T2315-W2315)/T2315</f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>(T2316-W2316)/T2316</f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>AJ2316</f>
        <v>0</v>
      </c>
      <c r="AJ2316" s="2">
        <f>AI2316*T2316</f>
        <v>0</v>
      </c>
      <c r="AK2316" s="2">
        <f>T2316-W2316</f>
        <v>252.82999999999998</v>
      </c>
      <c r="AL2316" s="5">
        <f>(T2316-W2316)/T2316</f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>(T2317-W2317)/T2317</f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>AJ2317</f>
        <v>0</v>
      </c>
      <c r="AJ2317" s="2">
        <f>AI2317*T2317</f>
        <v>0</v>
      </c>
      <c r="AK2317" s="2">
        <f>T2317-W2317</f>
        <v>50.82</v>
      </c>
      <c r="AL2317" s="5">
        <f>(T2317-W2317)/T2317</f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>(T2318-W2318)/T2318</f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>AJ2318</f>
        <v>0</v>
      </c>
      <c r="AJ2318" s="2">
        <f>AI2318*T2318</f>
        <v>0</v>
      </c>
      <c r="AK2318" s="2">
        <f>T2318-W2318</f>
        <v>17.5</v>
      </c>
      <c r="AL2318" s="5">
        <f>(T2318-W2318)/T2318</f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>(T2319-W2319)/T2319</f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>AJ2319</f>
        <v>0</v>
      </c>
      <c r="AJ2319" s="2">
        <f>AI2319*T2319</f>
        <v>0</v>
      </c>
      <c r="AK2319" s="2">
        <f>T2319-W2319</f>
        <v>246.74660000000006</v>
      </c>
      <c r="AL2319" s="5">
        <f>(T2319-W2319)/T2319</f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>(T2320-W2320)/T2320</f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>AJ2320</f>
        <v>0</v>
      </c>
      <c r="AJ2320" s="2">
        <f>AI2320*T2320</f>
        <v>0</v>
      </c>
      <c r="AK2320" s="2">
        <f>T2320-W2320</f>
        <v>30</v>
      </c>
      <c r="AL2320" s="5">
        <f>(T2320-W2320)/T2320</f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>(T2321-W2321)/T2321</f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>AJ2321</f>
        <v>0</v>
      </c>
      <c r="AJ2321" s="2">
        <f>AI2321*T2321</f>
        <v>0</v>
      </c>
      <c r="AK2321" s="2">
        <f>T2321-W2321</f>
        <v>25</v>
      </c>
      <c r="AL2321" s="5">
        <f>(T2321-W2321)/T2321</f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>(T2322-W2322)/T2322</f>
        <v>1</v>
      </c>
      <c r="Z2322" s="2" t="s">
        <v>120</v>
      </c>
      <c r="AA2322" s="2" t="s">
        <v>3384</v>
      </c>
      <c r="AF2322" s="2">
        <f>AJ2322</f>
        <v>0</v>
      </c>
      <c r="AJ2322" s="2">
        <f>AI2322*T2322</f>
        <v>0</v>
      </c>
      <c r="AK2322" s="2">
        <f>T2322-W2322</f>
        <v>297</v>
      </c>
      <c r="AL2322" s="5">
        <f>(T2322-W2322)/T2322</f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>AJ2323</f>
        <v>0</v>
      </c>
      <c r="AJ2323" s="2">
        <f>AI2323*T2323</f>
        <v>0</v>
      </c>
      <c r="AK2323" s="2">
        <f>T2323-W2323</f>
        <v>111.6</v>
      </c>
      <c r="AL2323" s="5">
        <f>(T2323-W2323)/T2323</f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>(T2324-W2324)/T2324</f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>AJ2324</f>
        <v>0</v>
      </c>
      <c r="AJ2324" s="2">
        <f>AI2324*T2324</f>
        <v>0</v>
      </c>
      <c r="AK2324" s="2">
        <f>T2324-W2324</f>
        <v>25</v>
      </c>
      <c r="AL2324" s="5">
        <f>(T2324-W2324)/T2324</f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>(T2325-W2325)/T2325</f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>AJ2325</f>
        <v>0</v>
      </c>
      <c r="AJ2325" s="2">
        <f>AI2325*T2325</f>
        <v>0</v>
      </c>
      <c r="AK2325" s="2">
        <f>T2325-W2325</f>
        <v>273.13</v>
      </c>
      <c r="AL2325" s="5">
        <f>(T2325-W2325)/T2325</f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>(T2326-W2326)/T2326</f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>AJ2326</f>
        <v>0</v>
      </c>
      <c r="AG2326" s="2">
        <v>42.23</v>
      </c>
      <c r="AJ2326" s="2">
        <f>AI2326*T2326</f>
        <v>0</v>
      </c>
      <c r="AK2326" s="2">
        <f>T2326-W2326</f>
        <v>12.900000000000006</v>
      </c>
      <c r="AL2326" s="5">
        <f>(T2326-W2326)/T2326</f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>(T2327-W2327)/T2327</f>
        <v>0.53835775587452683</v>
      </c>
      <c r="Z2327" s="2" t="s">
        <v>118</v>
      </c>
      <c r="AA2327" s="2" t="s">
        <v>119</v>
      </c>
      <c r="AF2327" s="2">
        <f>AJ2327</f>
        <v>0</v>
      </c>
      <c r="AJ2327" s="2">
        <f>AI2327*T2327</f>
        <v>0</v>
      </c>
      <c r="AK2327" s="2">
        <f>T2327-W2327</f>
        <v>1005.55</v>
      </c>
      <c r="AL2327" s="5">
        <f>(T2327-W2327)/T2327</f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>(T2328-W2328)/T2328</f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>AJ2328</f>
        <v>0</v>
      </c>
      <c r="AJ2328" s="2">
        <f>AI2328*T2328</f>
        <v>0</v>
      </c>
      <c r="AK2328" s="2">
        <f>T2328-W2328</f>
        <v>1389.62</v>
      </c>
      <c r="AL2328" s="5">
        <f>(T2328-W2328)/T2328</f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>(T2329-W2329)/T2329</f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>AJ2329</f>
        <v>0</v>
      </c>
      <c r="AJ2329" s="2">
        <f>AI2329*T2329</f>
        <v>0</v>
      </c>
      <c r="AK2329" s="2">
        <f>T2329-W2329</f>
        <v>6.0632000000000001</v>
      </c>
      <c r="AL2329" s="5">
        <f>(T2329-W2329)/T2329</f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>(T2330-W2330)/T2330</f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>AJ2330</f>
        <v>0</v>
      </c>
      <c r="AG2330" s="2">
        <v>10.2346</v>
      </c>
      <c r="AH2330" s="2">
        <v>18</v>
      </c>
      <c r="AJ2330" s="2">
        <f>AI2330*T2330</f>
        <v>0</v>
      </c>
      <c r="AK2330" s="2">
        <f>T2330-W2330</f>
        <v>9.5999999999999979</v>
      </c>
      <c r="AL2330" s="5">
        <f>(T2330-W2330)/T2330</f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>(T2331-W2331)/T2331</f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>AJ2331</f>
        <v>0</v>
      </c>
      <c r="AJ2331" s="2">
        <f>AI2331*T2331</f>
        <v>0</v>
      </c>
      <c r="AK2331" s="2">
        <f>T2331-W2331</f>
        <v>22.4</v>
      </c>
      <c r="AL2331" s="5">
        <f>(T2331-W2331)/T2331</f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>(T2332-W2332)/T2332</f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>AJ2332</f>
        <v>0</v>
      </c>
      <c r="AJ2332" s="2">
        <f>AI2332*T2332</f>
        <v>0</v>
      </c>
      <c r="AK2332" s="2">
        <f>T2332-W2332</f>
        <v>14.399999999999999</v>
      </c>
      <c r="AL2332" s="5">
        <f>(T2332-W2332)/T2332</f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>(T2333-W2333)/T2333</f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>AJ2333</f>
        <v>0</v>
      </c>
      <c r="AJ2333" s="2">
        <f>AI2333*T2333</f>
        <v>0</v>
      </c>
      <c r="AK2333" s="2">
        <f>T2333-W2333</f>
        <v>47.4</v>
      </c>
      <c r="AL2333" s="5">
        <f>(T2333-W2333)/T2333</f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>(T2334-W2334)/T2334</f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>AJ2334</f>
        <v>0</v>
      </c>
      <c r="AJ2334" s="2">
        <f>AI2334*T2334</f>
        <v>0</v>
      </c>
      <c r="AK2334" s="2">
        <f>T2334-W2334</f>
        <v>50</v>
      </c>
      <c r="AL2334" s="5">
        <f>(T2334-W2334)/T2334</f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>AJ2335</f>
        <v>0</v>
      </c>
      <c r="AJ2335" s="2">
        <f>AI2335*T2335</f>
        <v>0</v>
      </c>
      <c r="AK2335" s="2">
        <f>T2335-W2335</f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>AJ2336</f>
        <v>0</v>
      </c>
      <c r="AG2336" s="2">
        <v>3.7555999999999998</v>
      </c>
      <c r="AH2336" s="2">
        <v>7.2</v>
      </c>
      <c r="AJ2336" s="2">
        <f>AI2336*T2336</f>
        <v>0</v>
      </c>
      <c r="AK2336" s="2">
        <f>T2336-W2336</f>
        <v>34.132800000000003</v>
      </c>
      <c r="AL2336" s="5">
        <f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>(T2337-W2337)/T2337</f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>AJ2337</f>
        <v>0</v>
      </c>
      <c r="AG2337" s="2">
        <v>0.85609999999999997</v>
      </c>
      <c r="AH2337" s="2">
        <v>1.8</v>
      </c>
      <c r="AJ2337" s="2">
        <f>AI2337*T2337</f>
        <v>0</v>
      </c>
      <c r="AK2337" s="2">
        <f>T2337-W2337</f>
        <v>11.326800000000002</v>
      </c>
      <c r="AL2337" s="5">
        <f>(T2337-W2337)/T2337</f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>(T2338-W2338)/T2338</f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>AJ2338</f>
        <v>0</v>
      </c>
      <c r="AG2338" s="2">
        <v>1.1122000000000001</v>
      </c>
      <c r="AH2338" s="2">
        <v>3</v>
      </c>
      <c r="AJ2338" s="2">
        <f>AI2338*T2338</f>
        <v>0</v>
      </c>
      <c r="AK2338" s="2">
        <f>T2338-W2338</f>
        <v>18.878</v>
      </c>
      <c r="AL2338" s="5">
        <f>(T2338-W2338)/T2338</f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>(T2339-W2339)/T2339</f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>AJ2339</f>
        <v>0</v>
      </c>
      <c r="AJ2339" s="2">
        <f>AI2339*T2339</f>
        <v>0</v>
      </c>
      <c r="AK2339" s="2">
        <f>T2339-W2339</f>
        <v>33.33</v>
      </c>
      <c r="AL2339" s="5">
        <f>(T2339-W2339)/T2339</f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>(T2340-W2340)/T2340</f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>AJ2340</f>
        <v>0</v>
      </c>
      <c r="AJ2340" s="2">
        <f>AI2340*T2340</f>
        <v>0</v>
      </c>
      <c r="AK2340" s="2">
        <f>T2340-W2340</f>
        <v>36.599999999999994</v>
      </c>
      <c r="AL2340" s="5">
        <f>(T2340-W2340)/T2340</f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>(T2341-W2341)/T2341</f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>AJ2341</f>
        <v>0</v>
      </c>
      <c r="AJ2341" s="2">
        <f>AI2341*T2341</f>
        <v>0</v>
      </c>
      <c r="AK2341" s="2">
        <f>T2341-W2341</f>
        <v>62.5</v>
      </c>
      <c r="AL2341" s="5">
        <f>(T2341-W2341)/T2341</f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>(T2342-W2342)/T2342</f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>AJ2342</f>
        <v>0</v>
      </c>
      <c r="AJ2342" s="2">
        <f>AI2342*T2342</f>
        <v>0</v>
      </c>
      <c r="AK2342" s="2">
        <f>T2342-W2342</f>
        <v>42.599999999999994</v>
      </c>
      <c r="AL2342" s="5">
        <f>(T2342-W2342)/T2342</f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>(T2343-W2343)/T2343</f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>AJ2343</f>
        <v>0</v>
      </c>
      <c r="AJ2343" s="2">
        <f>AI2343*T2343</f>
        <v>0</v>
      </c>
      <c r="AK2343" s="2">
        <f>T2343-W2343</f>
        <v>25</v>
      </c>
      <c r="AL2343" s="5">
        <f>(T2343-W2343)/T2343</f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>(T2344-W2344)/T2344</f>
        <v>1</v>
      </c>
      <c r="Z2344" s="2" t="s">
        <v>118</v>
      </c>
      <c r="AA2344" s="2" t="s">
        <v>1312</v>
      </c>
      <c r="AF2344" s="2">
        <f>AJ2344</f>
        <v>0</v>
      </c>
      <c r="AJ2344" s="2">
        <f>AI2344*T2344</f>
        <v>0</v>
      </c>
      <c r="AK2344" s="2">
        <f>T2344-W2344</f>
        <v>45</v>
      </c>
      <c r="AL2344" s="5">
        <f>(T2344-W2344)/T2344</f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>(T2345-W2345)/T2345</f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>AJ2345</f>
        <v>0</v>
      </c>
      <c r="AG2345" s="2">
        <v>18.934200000000001</v>
      </c>
      <c r="AH2345" s="2">
        <v>29</v>
      </c>
      <c r="AJ2345" s="2">
        <f>AI2345*T2345</f>
        <v>0</v>
      </c>
      <c r="AK2345" s="2">
        <f>T2345-W2345</f>
        <v>44.263199999999998</v>
      </c>
      <c r="AL2345" s="5">
        <f>(T2345-W2345)/T2345</f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>(T2346-W2346)/T2346</f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>AJ2346</f>
        <v>0</v>
      </c>
      <c r="AJ2346" s="2">
        <f>AI2346*T2346</f>
        <v>0</v>
      </c>
      <c r="AK2346" s="2">
        <f>T2346-W2346</f>
        <v>34.799999999999997</v>
      </c>
      <c r="AL2346" s="5">
        <f>(T2346-W2346)/T2346</f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>(T2347-W2347)/T2347</f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>AJ2347</f>
        <v>0</v>
      </c>
      <c r="AJ2347" s="2">
        <f>AI2347*T2347</f>
        <v>0</v>
      </c>
      <c r="AK2347" s="2">
        <f>T2347-W2347</f>
        <v>18.75</v>
      </c>
      <c r="AL2347" s="5">
        <f>(T2347-W2347)/T2347</f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>(T2348-W2348)/T2348</f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>AJ2348</f>
        <v>0</v>
      </c>
      <c r="AG2348" s="2">
        <v>1.4114</v>
      </c>
      <c r="AH2348" s="2">
        <v>3</v>
      </c>
      <c r="AJ2348" s="2">
        <f>AI2348*T2348</f>
        <v>0</v>
      </c>
      <c r="AK2348" s="2">
        <f>T2348-W2348</f>
        <v>3.9543999999999997</v>
      </c>
      <c r="AL2348" s="5">
        <f>(T2348-W2348)/T2348</f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>(T2349-W2349)/T2349</f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>AJ2349</f>
        <v>0</v>
      </c>
      <c r="AG2349" s="2">
        <v>1.2190000000000001</v>
      </c>
      <c r="AH2349" s="2">
        <v>3</v>
      </c>
      <c r="AJ2349" s="2">
        <f>AI2349*T2349</f>
        <v>0</v>
      </c>
      <c r="AK2349" s="2">
        <f>T2349-W2349</f>
        <v>4.7239999999999993</v>
      </c>
      <c r="AL2349" s="5">
        <f>(T2349-W2349)/T2349</f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>(T2350-W2350)/T2350</f>
        <v>1</v>
      </c>
      <c r="Z2350" s="2" t="s">
        <v>120</v>
      </c>
      <c r="AA2350" s="2" t="s">
        <v>3384</v>
      </c>
      <c r="AF2350" s="2">
        <f>AJ2350</f>
        <v>0</v>
      </c>
      <c r="AJ2350" s="2">
        <f>AI2350*T2350</f>
        <v>0</v>
      </c>
      <c r="AK2350" s="2">
        <f>T2350-W2350</f>
        <v>18.260000000000002</v>
      </c>
      <c r="AL2350" s="5">
        <f>(T2350-W2350)/T2350</f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3384</v>
      </c>
      <c r="AF2351" s="2">
        <f>AJ2351</f>
        <v>0</v>
      </c>
      <c r="AJ2351" s="2">
        <f>AI2351*T2351</f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>AJ2352</f>
        <v>0</v>
      </c>
      <c r="AJ2352" s="2">
        <f>AI2352*T2352</f>
        <v>0</v>
      </c>
      <c r="AK2352" s="2">
        <f>T2352-W2352</f>
        <v>58.949999999999996</v>
      </c>
      <c r="AL2352" s="5">
        <f>(T2352-W2352)/T2352</f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>AJ2353</f>
        <v>0</v>
      </c>
      <c r="AJ2353" s="2">
        <f>AI2353*T2353</f>
        <v>0</v>
      </c>
      <c r="AK2353" s="2">
        <f>T2353-W2353</f>
        <v>16.875</v>
      </c>
      <c r="AL2353" s="5">
        <f>(T2353-W2353)/T2353</f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>AJ2354</f>
        <v>0</v>
      </c>
      <c r="AJ2354" s="2">
        <f>AI2354*T2354</f>
        <v>0</v>
      </c>
      <c r="AK2354" s="2">
        <f>T2354-W2354</f>
        <v>0</v>
      </c>
      <c r="AL2354" s="5" t="e">
        <f>(T2354-W2354)/T2354</f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>(T2355-W2355)/T2355</f>
        <v>1</v>
      </c>
      <c r="AF2355" s="2">
        <f>AJ2355</f>
        <v>0</v>
      </c>
      <c r="AJ2355" s="2">
        <f>AI2355*T2355</f>
        <v>0</v>
      </c>
      <c r="AK2355" s="2">
        <f>T2355-W2355</f>
        <v>669.3</v>
      </c>
      <c r="AL2355" s="5">
        <f>(T2355-W2355)/T2355</f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>(T2356-W2356)/T2356</f>
        <v>1</v>
      </c>
      <c r="Z2356" s="2" t="s">
        <v>105</v>
      </c>
      <c r="AF2356" s="2">
        <f>AJ2356</f>
        <v>0</v>
      </c>
      <c r="AJ2356" s="2">
        <f>AI2356*T2356</f>
        <v>0</v>
      </c>
      <c r="AK2356" s="2">
        <f>T2356-W2356</f>
        <v>11834</v>
      </c>
      <c r="AL2356" s="5">
        <f>(T2356-W2356)/T2356</f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>(T2357-W2357)/T2357</f>
        <v>#DIV/0!</v>
      </c>
      <c r="Z2357" s="2" t="s">
        <v>105</v>
      </c>
      <c r="AF2357" s="2">
        <f>AJ2357</f>
        <v>0</v>
      </c>
      <c r="AJ2357" s="2">
        <f>AI2357*T2357</f>
        <v>0</v>
      </c>
      <c r="AK2357" s="2">
        <f>T2357-W2357</f>
        <v>0</v>
      </c>
      <c r="AL2357" s="5" t="e">
        <f>(T2357-W2357)/T2357</f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>(T2358-W2358)/T2358</f>
        <v>1</v>
      </c>
      <c r="Z2358" s="2" t="s">
        <v>120</v>
      </c>
      <c r="AA2358" s="2" t="s">
        <v>3384</v>
      </c>
      <c r="AF2358" s="2">
        <f>AJ2358</f>
        <v>0</v>
      </c>
      <c r="AJ2358" s="2">
        <f>AI2358*T2358</f>
        <v>0</v>
      </c>
      <c r="AK2358" s="2">
        <f>T2358-W2358</f>
        <v>5000</v>
      </c>
      <c r="AL2358" s="5">
        <f>(T2358-W2358)/T2358</f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>(T2359-W2359)/T2359</f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>AJ2359</f>
        <v>0</v>
      </c>
      <c r="AJ2359" s="2">
        <f>AI2359*T2359</f>
        <v>0</v>
      </c>
      <c r="AK2359" s="2">
        <f>T2359-W2359</f>
        <v>22.5</v>
      </c>
      <c r="AL2359" s="5">
        <f>(T2359-W2359)/T2359</f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>(T2360-W2360)/T2360</f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>AJ2360</f>
        <v>0</v>
      </c>
      <c r="AJ2360" s="2">
        <f>AI2360*T2360</f>
        <v>0</v>
      </c>
      <c r="AK2360" s="2">
        <f>T2360-W2360</f>
        <v>18</v>
      </c>
      <c r="AL2360" s="5">
        <f>(T2360-W2360)/T2360</f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>(T2361-W2361)/T2361</f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>AJ2361</f>
        <v>0</v>
      </c>
      <c r="AJ2361" s="2">
        <f>AI2361*T2361</f>
        <v>0</v>
      </c>
      <c r="AK2361" s="2">
        <f>T2361-W2361</f>
        <v>207.07439999999997</v>
      </c>
      <c r="AL2361" s="5">
        <f>(T2361-W2361)/T2361</f>
        <v>0.31955925925925921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>(T2362-W2362)/T2362</f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>AJ2362</f>
        <v>0</v>
      </c>
      <c r="AJ2362" s="2">
        <f>AI2362*T2362</f>
        <v>0</v>
      </c>
      <c r="AK2362" s="2">
        <f>T2362-W2362</f>
        <v>648</v>
      </c>
      <c r="AL2362" s="5">
        <f>(T2362-W2362)/T2362</f>
        <v>1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>(T2363-W2363)/T2363</f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>AJ2363</f>
        <v>0</v>
      </c>
      <c r="AJ2363" s="2">
        <f>AI2363*T2363</f>
        <v>0</v>
      </c>
      <c r="AK2363" s="2">
        <f>T2363-W2363</f>
        <v>109</v>
      </c>
      <c r="AL2363" s="5">
        <f>(T2363-W2363)/T2363</f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>(T2364-W2364)/T2364</f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>AJ2364</f>
        <v>0</v>
      </c>
      <c r="AJ2364" s="2">
        <f>AI2364*T2364</f>
        <v>0</v>
      </c>
      <c r="AK2364" s="2">
        <f>T2364-W2364</f>
        <v>4320.6000000000004</v>
      </c>
      <c r="AL2364" s="5">
        <f>(T2364-W2364)/T2364</f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>(T2365-W2365)/T2365</f>
        <v>1</v>
      </c>
      <c r="Z2365" s="2" t="s">
        <v>3231</v>
      </c>
      <c r="AF2365" s="2">
        <f>AJ2365</f>
        <v>0</v>
      </c>
      <c r="AJ2365" s="2">
        <f>AI2365*T2365</f>
        <v>0</v>
      </c>
      <c r="AK2365" s="2">
        <f>T2365-W2365</f>
        <v>239.8</v>
      </c>
      <c r="AL2365" s="5">
        <f>(T2365-W2365)/T2365</f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>(T2366-W2366)/T2366</f>
        <v>1</v>
      </c>
      <c r="Z2366" s="2" t="s">
        <v>3231</v>
      </c>
      <c r="AF2366" s="2">
        <f>AJ2366</f>
        <v>0</v>
      </c>
      <c r="AJ2366" s="2">
        <f>AI2366*T2366</f>
        <v>0</v>
      </c>
      <c r="AK2366" s="2">
        <f>T2366-W2366</f>
        <v>759</v>
      </c>
      <c r="AL2366" s="5">
        <f>(T2366-W2366)/T2366</f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>(T2367-W2367)/T2367</f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>AJ2367</f>
        <v>0</v>
      </c>
      <c r="AJ2367" s="2">
        <f>AI2367*T2367</f>
        <v>0</v>
      </c>
      <c r="AK2367" s="2">
        <f>T2367-W2367</f>
        <v>960</v>
      </c>
      <c r="AL2367" s="5">
        <f>(T2367-W2367)/T2367</f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>AJ2368</f>
        <v>0</v>
      </c>
      <c r="AJ2368" s="2">
        <f>AI2368*T2368</f>
        <v>0</v>
      </c>
      <c r="AK2368" s="2">
        <f>T2368-W2368</f>
        <v>0</v>
      </c>
      <c r="AL2368" s="5" t="e">
        <f>(T2368-W2368)/T2368</f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>AJ2369</f>
        <v>0</v>
      </c>
      <c r="AG2369" s="2">
        <v>0.85609999999999997</v>
      </c>
      <c r="AH2369" s="2">
        <v>1.8</v>
      </c>
      <c r="AJ2369" s="2">
        <f>AI2369*T2369</f>
        <v>0</v>
      </c>
      <c r="AK2369" s="2">
        <f>T2369-W2369</f>
        <v>18.878</v>
      </c>
      <c r="AL2369" s="5">
        <f>(T2369-W2369)/T2369</f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>(T2370-W2370)/T2370</f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>AJ2370</f>
        <v>0</v>
      </c>
      <c r="AG2370" s="2">
        <v>15.020300000000001</v>
      </c>
      <c r="AH2370" s="2">
        <v>27.6</v>
      </c>
      <c r="AJ2370" s="2">
        <f>AI2370*T2370</f>
        <v>0</v>
      </c>
      <c r="AK2370" s="2">
        <f>T2370-W2370</f>
        <v>31.918799999999997</v>
      </c>
      <c r="AL2370" s="5">
        <f>(T2370-W2370)/T2370</f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M2371" s="2" t="s">
        <v>81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>(T2371-W2371)/T2371</f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>AJ2371</f>
        <v>0</v>
      </c>
      <c r="AG2371" s="2">
        <v>11.295</v>
      </c>
      <c r="AJ2371" s="2">
        <f>AI2371*T2371</f>
        <v>0</v>
      </c>
      <c r="AK2371" s="2">
        <f>T2371-W2371</f>
        <v>18.704999999999998</v>
      </c>
      <c r="AL2371" s="5">
        <f>(T2371-W2371)/T2371</f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M2372" s="2" t="s">
        <v>81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>(T2372-W2372)/T2372</f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>AJ2372</f>
        <v>0</v>
      </c>
      <c r="AG2372" s="2">
        <v>7.2217000000000002</v>
      </c>
      <c r="AH2372" s="2">
        <v>14.4</v>
      </c>
      <c r="AJ2372" s="2">
        <f>AI2372*T2372</f>
        <v>0</v>
      </c>
      <c r="AK2372" s="2">
        <f>T2372-W2372</f>
        <v>5.9782999999999991</v>
      </c>
      <c r="AL2372" s="5">
        <f>(T2372-W2372)/T2372</f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M2373" s="2" t="s">
        <v>81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>(T2373-W2373)/T2373</f>
        <v>0.44138749999999999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>AJ2373</f>
        <v>0</v>
      </c>
      <c r="AJ2373" s="2">
        <f>AI2373*T2373</f>
        <v>0</v>
      </c>
      <c r="AK2373" s="2">
        <f>T2373-W2373</f>
        <v>10.593299999999999</v>
      </c>
      <c r="AL2373" s="5">
        <f>(T2373-W2373)/T2373</f>
        <v>0.44138749999999999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M2374" s="2" t="s">
        <v>81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>(T2374-W2374)/T2374</f>
        <v>0.43663541666666661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>AJ2374</f>
        <v>0</v>
      </c>
      <c r="AJ2374" s="2">
        <f>AI2374*T2374</f>
        <v>0</v>
      </c>
      <c r="AK2374" s="2">
        <f>T2374-W2374</f>
        <v>25.150199999999998</v>
      </c>
      <c r="AL2374" s="5">
        <f>(T2374-W2374)/T2374</f>
        <v>0.43663541666666661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M2375" s="2" t="s">
        <v>81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>(T2375-W2375)/T2375</f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>AJ2375</f>
        <v>0</v>
      </c>
      <c r="AJ2375" s="2">
        <f>AI2375*T2375</f>
        <v>0</v>
      </c>
      <c r="AK2375" s="2">
        <f>T2375-W2375</f>
        <v>33.6</v>
      </c>
      <c r="AL2375" s="5">
        <f>(T2375-W2375)/T2375</f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M2376" s="2" t="s">
        <v>81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>(T2376-W2376)/T2376</f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>AJ2376</f>
        <v>0</v>
      </c>
      <c r="AG2376" s="2">
        <v>0.98</v>
      </c>
      <c r="AH2376" s="2">
        <v>3</v>
      </c>
      <c r="AJ2376" s="2">
        <f>AI2376*T2376</f>
        <v>0</v>
      </c>
      <c r="AK2376" s="2">
        <f>T2376-W2376</f>
        <v>4.0199999999999996</v>
      </c>
      <c r="AL2376" s="5">
        <f>(T2376-W2376)/T2376</f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>(T2377-W2377)/T2377</f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>AJ2377</f>
        <v>0</v>
      </c>
      <c r="AG2377" s="2">
        <v>6.8949999999999996</v>
      </c>
      <c r="AJ2377" s="2">
        <f>AI2377*T2377</f>
        <v>0</v>
      </c>
      <c r="AK2377" s="2">
        <f>T2377-W2377</f>
        <v>8.1050000000000004</v>
      </c>
      <c r="AL2377" s="5">
        <f>(T2377-W2377)/T2377</f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>AJ2378</f>
        <v>0</v>
      </c>
      <c r="AJ2378" s="2">
        <f>AI2378*T2378</f>
        <v>0</v>
      </c>
      <c r="AK2378" s="2">
        <f>T2378-W2378</f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>AJ2379</f>
        <v>0</v>
      </c>
      <c r="AJ2379" s="2">
        <f>AI2379*T2379</f>
        <v>0</v>
      </c>
      <c r="AK2379" s="2">
        <f>T2379-W2379</f>
        <v>12.5</v>
      </c>
      <c r="AL2379" s="5">
        <f>(T2379-W2379)/T2379</f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>AJ2380</f>
        <v>0</v>
      </c>
      <c r="AJ2380" s="2">
        <f>AI2380*T2380</f>
        <v>0</v>
      </c>
      <c r="AK2380" s="2">
        <f>T2380-W2380</f>
        <v>2210</v>
      </c>
      <c r="AL2380" s="5">
        <f>(T2380-W2380)/T2380</f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>AJ2381</f>
        <v>0</v>
      </c>
      <c r="AJ2381" s="2">
        <f>AI2381*T2381</f>
        <v>0</v>
      </c>
      <c r="AK2381" s="2">
        <f>T2381-W2381</f>
        <v>0</v>
      </c>
      <c r="AL2381" s="5" t="e">
        <f>(T2381-W2381)/T2381</f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>(T2382-W2382)/T2382</f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>AJ2382</f>
        <v>0</v>
      </c>
      <c r="AG2382" s="2">
        <v>6.6266999999999996</v>
      </c>
      <c r="AH2382" s="2">
        <v>12</v>
      </c>
      <c r="AJ2382" s="2">
        <f>AI2382*T2382</f>
        <v>0</v>
      </c>
      <c r="AK2382" s="2">
        <f>T2382-W2382</f>
        <v>6.3733000000000004</v>
      </c>
      <c r="AL2382" s="5">
        <f>(T2382-W2382)/T2382</f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>(T2383-W2383)/T2383</f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>AJ2383</f>
        <v>0</v>
      </c>
      <c r="AJ2383" s="2">
        <f>AI2383*T2383</f>
        <v>0</v>
      </c>
      <c r="AK2383" s="2">
        <f>T2383-W2383</f>
        <v>4.0600000000000005</v>
      </c>
      <c r="AL2383" s="5">
        <f>(T2383-W2383)/T2383</f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>(T2384-W2384)/T2384</f>
        <v>0.64212857142857138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>AJ2384</f>
        <v>0</v>
      </c>
      <c r="AJ2384" s="2">
        <f>AI2384*T2384</f>
        <v>0</v>
      </c>
      <c r="AK2384" s="2">
        <f>T2384-W2384</f>
        <v>4.4948999999999995</v>
      </c>
      <c r="AL2384" s="5">
        <f>(T2384-W2384)/T2384</f>
        <v>0.64212857142857138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>(T2385-W2385)/T2385</f>
        <v>1</v>
      </c>
      <c r="Z2385" s="2" t="s">
        <v>120</v>
      </c>
      <c r="AA2385" s="2" t="s">
        <v>3384</v>
      </c>
      <c r="AF2385" s="2">
        <f>AJ2385</f>
        <v>0</v>
      </c>
      <c r="AJ2385" s="2">
        <f>AI2385*T2385</f>
        <v>0</v>
      </c>
      <c r="AK2385" s="2">
        <f>T2385-W2385</f>
        <v>440</v>
      </c>
      <c r="AL2385" s="5">
        <f>(T2385-W2385)/T2385</f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>(T2386-W2386)/T2386</f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>AJ2386</f>
        <v>0</v>
      </c>
      <c r="AJ2386" s="2">
        <f>AI2386*T2386</f>
        <v>0</v>
      </c>
      <c r="AK2386" s="2">
        <f>T2386-W2386</f>
        <v>102</v>
      </c>
      <c r="AL2386" s="5">
        <f>(T2386-W2386)/T2386</f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>(T2387-W2387)/T2387</f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>AJ2387</f>
        <v>0</v>
      </c>
      <c r="AJ2387" s="2">
        <f>AI2387*T2387</f>
        <v>0</v>
      </c>
      <c r="AK2387" s="2">
        <f>T2387-W2387</f>
        <v>18.75</v>
      </c>
      <c r="AL2387" s="5">
        <f>(T2387-W2387)/T2387</f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>(T2388-W2388)/T2388</f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>AJ2388</f>
        <v>0</v>
      </c>
      <c r="AJ2388" s="2">
        <f>AI2388*T2388</f>
        <v>0</v>
      </c>
      <c r="AK2388" s="2">
        <f>T2388-W2388</f>
        <v>110.39999999999999</v>
      </c>
      <c r="AL2388" s="5">
        <f>(T2388-W2388)/T2388</f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>(T2389-W2389)/T2389</f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>AJ2389</f>
        <v>0</v>
      </c>
      <c r="AJ2389" s="2">
        <f>AI2389*T2389</f>
        <v>0</v>
      </c>
      <c r="AK2389" s="2">
        <f>T2389-W2389</f>
        <v>62.5</v>
      </c>
      <c r="AL2389" s="5">
        <f>(T2389-W2389)/T2389</f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>(T2390-W2390)/T2390</f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>AJ2390</f>
        <v>0</v>
      </c>
      <c r="AJ2390" s="2">
        <f>AI2390*T2390</f>
        <v>0</v>
      </c>
      <c r="AK2390" s="2">
        <f>T2390-W2390</f>
        <v>57</v>
      </c>
      <c r="AL2390" s="5">
        <f>(T2390-W2390)/T2390</f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>(T2391-W2391)/T2391</f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>AJ2391</f>
        <v>0</v>
      </c>
      <c r="AJ2391" s="2">
        <f>AI2391*T2391</f>
        <v>0</v>
      </c>
      <c r="AK2391" s="2">
        <f>T2391-W2391</f>
        <v>25</v>
      </c>
      <c r="AL2391" s="5">
        <f>(T2391-W2391)/T2391</f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>(T2392-W2392)/T2392</f>
        <v>1</v>
      </c>
      <c r="Z2392" s="2" t="s">
        <v>120</v>
      </c>
      <c r="AA2392" s="2" t="s">
        <v>3384</v>
      </c>
      <c r="AF2392" s="2">
        <f>AJ2392</f>
        <v>0</v>
      </c>
      <c r="AJ2392" s="2">
        <f>AI2392*T2392</f>
        <v>0</v>
      </c>
      <c r="AK2392" s="2">
        <f>T2392-W2392</f>
        <v>99.75</v>
      </c>
      <c r="AL2392" s="5">
        <f>(T2392-W2392)/T2392</f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>(T2393-W2393)/T2393</f>
        <v>1</v>
      </c>
      <c r="Z2393" s="2" t="s">
        <v>118</v>
      </c>
      <c r="AA2393" s="2" t="s">
        <v>318</v>
      </c>
      <c r="AF2393" s="2">
        <f>AJ2393</f>
        <v>0</v>
      </c>
      <c r="AJ2393" s="2">
        <f>AI2393*T2393</f>
        <v>0</v>
      </c>
      <c r="AK2393" s="2">
        <f>T2393-W2393</f>
        <v>723.1</v>
      </c>
      <c r="AL2393" s="5">
        <f>(T2393-W2393)/T2393</f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>AJ2394</f>
        <v>0</v>
      </c>
      <c r="AJ2394" s="2">
        <f>AI2394*T2394</f>
        <v>0</v>
      </c>
      <c r="AK2394" s="2">
        <f>T2394-W2394</f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>(T2395-W2395)/T2395</f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>AJ2395</f>
        <v>0</v>
      </c>
      <c r="AG2395" s="2">
        <v>117.453</v>
      </c>
      <c r="AH2395" s="2">
        <v>220</v>
      </c>
      <c r="AJ2395" s="2">
        <f>AI2395*T2395</f>
        <v>0</v>
      </c>
      <c r="AK2395" s="2">
        <f>T2395-W2395</f>
        <v>102.547</v>
      </c>
      <c r="AL2395" s="5">
        <f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>(T2396-W2396)/T2396</f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>AJ2396</f>
        <v>0</v>
      </c>
      <c r="AJ2396" s="2">
        <f>AI2396*T2396</f>
        <v>0</v>
      </c>
      <c r="AK2396" s="2">
        <f>T2396-W2396</f>
        <v>0</v>
      </c>
      <c r="AL2396" s="5">
        <f>(T2396-W2396)/T2396</f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>(T2397-W2397)/T2397</f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>AJ2397</f>
        <v>0</v>
      </c>
      <c r="AJ2397" s="2">
        <f>AI2397*T2397</f>
        <v>0</v>
      </c>
      <c r="AK2397" s="2">
        <f>T2397-W2397</f>
        <v>25.908000000000001</v>
      </c>
      <c r="AL2397" s="5">
        <f>(T2397-W2397)/T2397</f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>(T2398-W2398)/T2398</f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>AJ2398</f>
        <v>0</v>
      </c>
      <c r="AG2398" s="2">
        <v>5.9066999999999998</v>
      </c>
      <c r="AH2398" s="2">
        <v>12.6</v>
      </c>
      <c r="AJ2398" s="2">
        <f>AI2398*T2398</f>
        <v>0</v>
      </c>
      <c r="AK2398" s="2">
        <f>T2398-W2398</f>
        <v>5.4333</v>
      </c>
      <c r="AL2398" s="5">
        <f>(T2398-W2398)/T2398</f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>(T2399-W2399)/T2399</f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>AJ2399</f>
        <v>0</v>
      </c>
      <c r="AG2399" s="2">
        <v>11.045</v>
      </c>
      <c r="AJ2399" s="2">
        <f>AI2399*T2399</f>
        <v>0</v>
      </c>
      <c r="AK2399" s="2">
        <f>T2399-W2399</f>
        <v>10.435</v>
      </c>
      <c r="AL2399" s="5">
        <f>(T2399-W2399)/T2399</f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>(T2400-W2400)/T2400</f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>AJ2400</f>
        <v>0</v>
      </c>
      <c r="AG2400" s="2">
        <v>10.6</v>
      </c>
      <c r="AH2400" s="2">
        <v>18</v>
      </c>
      <c r="AJ2400" s="2">
        <f>AI2400*T2400</f>
        <v>0</v>
      </c>
      <c r="AK2400" s="2">
        <f>T2400-W2400</f>
        <v>64</v>
      </c>
      <c r="AL2400" s="5">
        <f>(T2400-W2400)/T2400</f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>(T2401-W2401)/T2401</f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>AJ2401</f>
        <v>0</v>
      </c>
      <c r="AG2401" s="2">
        <v>8.1999999999999993</v>
      </c>
      <c r="AH2401" s="2">
        <v>13</v>
      </c>
      <c r="AJ2401" s="2">
        <f>AI2401*T2401</f>
        <v>0</v>
      </c>
      <c r="AK2401" s="2">
        <f>T2401-W2401</f>
        <v>19</v>
      </c>
      <c r="AL2401" s="5">
        <f>(T2401-W2401)/T2401</f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>(T2402-W2402)/T2402</f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>AJ2402</f>
        <v>0</v>
      </c>
      <c r="AG2402" s="2">
        <v>7.9611999999999998</v>
      </c>
      <c r="AH2402" s="2">
        <v>14.4</v>
      </c>
      <c r="AJ2402" s="2">
        <f>AI2402*T2402</f>
        <v>0</v>
      </c>
      <c r="AK2402" s="2">
        <f>T2402-W2402</f>
        <v>6.5888000000000009</v>
      </c>
      <c r="AL2402" s="5">
        <f>(T2402-W2402)/T2402</f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>(T2403-W2403)/T2403</f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>AJ2403</f>
        <v>0</v>
      </c>
      <c r="AJ2403" s="2">
        <f>AI2403*T2403</f>
        <v>0</v>
      </c>
      <c r="AK2403" s="2">
        <f>T2403-W2403</f>
        <v>164.39999999999998</v>
      </c>
      <c r="AL2403" s="5">
        <f>(T2403-W2403)/T2403</f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>(T2404-W2404)/T2404</f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>AJ2404</f>
        <v>0</v>
      </c>
      <c r="AJ2404" s="2">
        <f>AI2404*T2404</f>
        <v>0</v>
      </c>
      <c r="AK2404" s="2">
        <f>T2404-W2404</f>
        <v>31.25</v>
      </c>
      <c r="AL2404" s="5">
        <f>(T2404-W2404)/T2404</f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>(T2405-W2405)/T2405</f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>AJ2405</f>
        <v>0</v>
      </c>
      <c r="AJ2405" s="2">
        <f>AI2405*T2405</f>
        <v>0</v>
      </c>
      <c r="AK2405" s="2">
        <f>T2405-W2405</f>
        <v>354.09659999999997</v>
      </c>
      <c r="AL2405" s="5">
        <f>(T2405-W2405)/T2405</f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>(T2406-W2406)/T2406</f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>AJ2406</f>
        <v>0</v>
      </c>
      <c r="AJ2406" s="2">
        <f>AI2406*T2406</f>
        <v>0</v>
      </c>
      <c r="AK2406" s="2">
        <f>T2406-W2406</f>
        <v>104.39999999999999</v>
      </c>
      <c r="AL2406" s="5">
        <f>(T2406-W2406)/T2406</f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>(T2407-W2407)/T2407</f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>AJ2407</f>
        <v>0</v>
      </c>
      <c r="AJ2407" s="2">
        <f>AI2407*T2407</f>
        <v>0</v>
      </c>
      <c r="AK2407" s="2">
        <f>T2407-W2407</f>
        <v>50</v>
      </c>
      <c r="AL2407" s="5">
        <f>(T2407-W2407)/T2407</f>
        <v>0.5</v>
      </c>
    </row>
    <row r="2408" spans="1:38" x14ac:dyDescent="0.2">
      <c r="A2408" s="2">
        <v>2025</v>
      </c>
      <c r="B2408" s="2">
        <v>12</v>
      </c>
      <c r="C2408" s="2" t="s">
        <v>3447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>(T2408-W2408)/T2408</f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>AJ2408</f>
        <v>0</v>
      </c>
      <c r="AJ2408" s="2">
        <f>AI2408*T2408</f>
        <v>0</v>
      </c>
      <c r="AK2408" s="2">
        <f>T2408-W2408</f>
        <v>3.4948999999999999</v>
      </c>
      <c r="AL2408" s="5">
        <f>(T2408-W2408)/T2408</f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>(T2409-W2409)/T2409</f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>AJ2409</f>
        <v>0</v>
      </c>
      <c r="AJ2409" s="2">
        <f>AI2409*T2409</f>
        <v>0</v>
      </c>
      <c r="AK2409" s="2">
        <f>T2409-W2409</f>
        <v>30</v>
      </c>
      <c r="AL2409" s="5">
        <f>(T2409-W2409)/T2409</f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>(T2410-W2410)/T2410</f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>AJ2410</f>
        <v>0</v>
      </c>
      <c r="AJ2410" s="2">
        <f>AI2410*T2410</f>
        <v>0</v>
      </c>
      <c r="AK2410" s="2">
        <f>T2410-W2410</f>
        <v>31.25</v>
      </c>
      <c r="AL2410" s="5">
        <f>(T2410-W2410)/T2410</f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>(T2411-W2411)/T2411</f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>AJ2411</f>
        <v>0</v>
      </c>
      <c r="AJ2411" s="2">
        <f>AI2411*T2411</f>
        <v>0</v>
      </c>
      <c r="AK2411" s="2">
        <f>T2411-W2411</f>
        <v>25.908000000000001</v>
      </c>
      <c r="AL2411" s="5">
        <f>(T2411-W2411)/T2411</f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>(T2412-W2412)/T2412</f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>AJ2412</f>
        <v>0</v>
      </c>
      <c r="AG2412" s="2">
        <v>122.446</v>
      </c>
      <c r="AH2412" s="2">
        <v>230</v>
      </c>
      <c r="AJ2412" s="2">
        <f>AI2412*T2412</f>
        <v>0</v>
      </c>
      <c r="AK2412" s="2">
        <f>T2412-W2412</f>
        <v>87.554000000000002</v>
      </c>
      <c r="AL2412" s="5">
        <f>(T2412-W2412)/T2412</f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>(T2413-W2413)/T2413</f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>AJ2413</f>
        <v>0</v>
      </c>
      <c r="AJ2413" s="2">
        <f>AI2413*T2413</f>
        <v>0</v>
      </c>
      <c r="AK2413" s="2">
        <f>T2413-W2413</f>
        <v>88.84</v>
      </c>
      <c r="AL2413" s="5">
        <f>(T2413-W2413)/T2413</f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>(T2414-W2414)/T2414</f>
        <v>0.25</v>
      </c>
      <c r="Z2414" s="2" t="s">
        <v>170</v>
      </c>
      <c r="AA2414" s="2" t="s">
        <v>170</v>
      </c>
      <c r="AF2414" s="2">
        <f>AJ2414</f>
        <v>0</v>
      </c>
      <c r="AJ2414" s="2">
        <f>AI2414*T2414</f>
        <v>0</v>
      </c>
      <c r="AK2414" s="2">
        <f>T2414-W2414</f>
        <v>10</v>
      </c>
      <c r="AL2414" s="5">
        <f>(T2414-W2414)/T2414</f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>(T2415-W2415)/T2415</f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>AJ2415</f>
        <v>0</v>
      </c>
      <c r="AJ2415" s="2">
        <f>AI2415*T2415</f>
        <v>0</v>
      </c>
      <c r="AK2415" s="2">
        <f>T2415-W2415</f>
        <v>0</v>
      </c>
      <c r="AL2415" s="5">
        <f>(T2415-W2415)/T2415</f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>(T2416-W2416)/T2416</f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>AJ2416</f>
        <v>0</v>
      </c>
      <c r="AG2416" s="2">
        <v>117.453</v>
      </c>
      <c r="AH2416" s="2">
        <v>220</v>
      </c>
      <c r="AJ2416" s="2">
        <f>AI2416*T2416</f>
        <v>0</v>
      </c>
      <c r="AK2416" s="2">
        <f>T2416-W2416</f>
        <v>102.547</v>
      </c>
      <c r="AL2416" s="5">
        <f>(T2416-W2416)/T2416</f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>(T2417-W2417)/T2417</f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>AJ2417</f>
        <v>0</v>
      </c>
      <c r="AJ2417" s="2">
        <f>AI2417*T2417</f>
        <v>0</v>
      </c>
      <c r="AK2417" s="2">
        <f>T2417-W2417</f>
        <v>24.75</v>
      </c>
      <c r="AL2417" s="5">
        <f>(T2417-W2417)/T2417</f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>(T2418-W2418)/T2418</f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>AJ2418</f>
        <v>0</v>
      </c>
      <c r="AJ2418" s="2">
        <f>AI2418*T2418</f>
        <v>0</v>
      </c>
      <c r="AK2418" s="2">
        <f>T2418-W2418</f>
        <v>22.5</v>
      </c>
      <c r="AL2418" s="5">
        <f>(T2418-W2418)/T2418</f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>(T2419-W2419)/T2419</f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>AJ2419</f>
        <v>0</v>
      </c>
      <c r="AJ2419" s="2">
        <f>AI2419*T2419</f>
        <v>0</v>
      </c>
      <c r="AK2419" s="2">
        <f>T2419-W2419</f>
        <v>0</v>
      </c>
      <c r="AL2419" s="5">
        <f>(T2419-W2419)/T2419</f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>(T2420-W2420)/T2420</f>
        <v>1</v>
      </c>
      <c r="Z2420" s="2" t="s">
        <v>120</v>
      </c>
      <c r="AA2420" s="2" t="s">
        <v>3384</v>
      </c>
      <c r="AF2420" s="2">
        <f>AJ2420</f>
        <v>0</v>
      </c>
      <c r="AJ2420" s="2">
        <f>AI2420*T2420</f>
        <v>0</v>
      </c>
      <c r="AK2420" s="2">
        <f>T2420-W2420</f>
        <v>28.5</v>
      </c>
      <c r="AL2420" s="5">
        <f>(T2420-W2420)/T2420</f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>(T2421-W2421)/T2421</f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>AJ2421</f>
        <v>0</v>
      </c>
      <c r="AG2421" s="2">
        <v>10669.4</v>
      </c>
      <c r="AJ2421" s="2">
        <f>AI2421*T2421</f>
        <v>0</v>
      </c>
      <c r="AK2421" s="2">
        <f>T2421-W2421</f>
        <v>4320.6000000000004</v>
      </c>
      <c r="AL2421" s="5">
        <f>(T2421-W2421)/T2421</f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>(T2422-W2422)/T2422</f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>AJ2422</f>
        <v>0</v>
      </c>
      <c r="AJ2422" s="2">
        <f>AI2422*T2422</f>
        <v>0</v>
      </c>
      <c r="AK2422" s="2">
        <f>T2422-W2422</f>
        <v>25.908000000000001</v>
      </c>
      <c r="AL2422" s="5">
        <f>(T2422-W2422)/T2422</f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>(T2423-W2423)/T2423</f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>AJ2423</f>
        <v>0</v>
      </c>
      <c r="AG2423" s="2">
        <v>3.7555999999999998</v>
      </c>
      <c r="AH2423" s="2">
        <v>7.2</v>
      </c>
      <c r="AJ2423" s="2">
        <f>AI2423*T2423</f>
        <v>0</v>
      </c>
      <c r="AK2423" s="2">
        <f>T2423-W2423</f>
        <v>22.755199999999999</v>
      </c>
      <c r="AL2423" s="5">
        <f>(T2423-W2423)/T2423</f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>(T2424-W2424)/T2424</f>
        <v>1</v>
      </c>
      <c r="Z2424" s="2" t="s">
        <v>170</v>
      </c>
      <c r="AA2424" s="2" t="s">
        <v>170</v>
      </c>
      <c r="AF2424" s="2">
        <f>AJ2424</f>
        <v>0</v>
      </c>
      <c r="AJ2424" s="2">
        <f>AI2424*T2424</f>
        <v>0</v>
      </c>
      <c r="AK2424" s="2">
        <f>T2424-W2424</f>
        <v>13.5</v>
      </c>
      <c r="AL2424" s="5">
        <f>(T2424-W2424)/T2424</f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>(T2425-W2425)/T2425</f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>AJ2425</f>
        <v>0</v>
      </c>
      <c r="AG2425" s="2">
        <v>8.1999999999999993</v>
      </c>
      <c r="AH2425" s="2">
        <v>13</v>
      </c>
      <c r="AJ2425" s="2">
        <f>AI2425*T2425</f>
        <v>0</v>
      </c>
      <c r="AK2425" s="2">
        <f>T2425-W2425</f>
        <v>9.5999999999999979</v>
      </c>
      <c r="AL2425" s="5">
        <f>(T2425-W2425)/T2425</f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>(T2426-W2426)/T2426</f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>AJ2426</f>
        <v>0</v>
      </c>
      <c r="AG2426" s="2">
        <v>10.6</v>
      </c>
      <c r="AH2426" s="2">
        <v>18</v>
      </c>
      <c r="AJ2426" s="2">
        <f>AI2426*T2426</f>
        <v>0</v>
      </c>
      <c r="AK2426" s="2">
        <f>T2426-W2426</f>
        <v>7.4</v>
      </c>
      <c r="AL2426" s="5">
        <f>(T2426-W2426)/T2426</f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>(T2427-W2427)/T2427</f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>AJ2427</f>
        <v>0</v>
      </c>
      <c r="AG2427" s="2">
        <v>8.1999999999999993</v>
      </c>
      <c r="AH2427" s="2">
        <v>13</v>
      </c>
      <c r="AJ2427" s="2">
        <f>AI2427*T2427</f>
        <v>0</v>
      </c>
      <c r="AK2427" s="2">
        <f>T2427-W2427</f>
        <v>4.7999999999999989</v>
      </c>
      <c r="AL2427" s="5">
        <f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>(T2428-W2428)/T2428</f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>AJ2428</f>
        <v>0</v>
      </c>
      <c r="AG2428" s="2">
        <v>15.020300000000001</v>
      </c>
      <c r="AH2428" s="2">
        <v>27.6</v>
      </c>
      <c r="AJ2428" s="2">
        <f>AI2428*T2428</f>
        <v>0</v>
      </c>
      <c r="AK2428" s="2">
        <f>T2428-W2428</f>
        <v>11.379699999999998</v>
      </c>
      <c r="AL2428" s="5">
        <f>(T2428-W2428)/T2428</f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>(T2429-W2429)/T2429</f>
        <v>1</v>
      </c>
      <c r="Z2429" s="2" t="s">
        <v>118</v>
      </c>
      <c r="AF2429" s="2">
        <f>AJ2429</f>
        <v>0</v>
      </c>
      <c r="AJ2429" s="2">
        <f>AI2429*T2429</f>
        <v>0</v>
      </c>
      <c r="AK2429" s="2">
        <f>T2429-W2429</f>
        <v>13500</v>
      </c>
      <c r="AL2429" s="5">
        <f>(T2429-W2429)/T2429</f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>(T2430-W2430)/T2430</f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>AJ2430</f>
        <v>0</v>
      </c>
      <c r="AG2430" s="2">
        <v>117.453</v>
      </c>
      <c r="AH2430" s="2">
        <v>220</v>
      </c>
      <c r="AJ2430" s="2">
        <f>AI2430*T2430</f>
        <v>0</v>
      </c>
      <c r="AK2430" s="2">
        <f>T2430-W2430</f>
        <v>102.547</v>
      </c>
      <c r="AL2430" s="5">
        <f>(T2430-W2430)/T2430</f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>(T2431-W2431)/T2431</f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>AJ2431</f>
        <v>0</v>
      </c>
      <c r="AJ2431" s="2">
        <f>AI2431*T2431</f>
        <v>0</v>
      </c>
      <c r="AK2431" s="2">
        <f>T2431-W2431</f>
        <v>0</v>
      </c>
      <c r="AL2431" s="5">
        <f>(T2431-W2431)/T2431</f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>AJ2432</f>
        <v>0</v>
      </c>
      <c r="AJ2432" s="2">
        <f>AI2432*T2432</f>
        <v>0</v>
      </c>
      <c r="AK2432" s="2">
        <f>T2432-W2432</f>
        <v>354.09659999999997</v>
      </c>
      <c r="AL2432" s="5">
        <f>(T2432-W2432)/T2432</f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>(T2433-W2433)/T2433</f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>AJ2433</f>
        <v>0</v>
      </c>
      <c r="AG2433" s="2">
        <v>9.3000000000000007</v>
      </c>
      <c r="AH2433" s="2">
        <v>21</v>
      </c>
      <c r="AJ2433" s="2">
        <f>AI2433*T2433</f>
        <v>0</v>
      </c>
      <c r="AK2433" s="2">
        <f>T2433-W2433</f>
        <v>7.75</v>
      </c>
      <c r="AL2433" s="5">
        <f>(T2433-W2433)/T2433</f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>(T2434-W2434)/T2434</f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>AJ2434</f>
        <v>0</v>
      </c>
      <c r="AG2434" s="2">
        <v>6.6266999999999996</v>
      </c>
      <c r="AH2434" s="2">
        <v>12</v>
      </c>
      <c r="AJ2434" s="2">
        <f>AI2434*T2434</f>
        <v>0</v>
      </c>
      <c r="AK2434" s="2">
        <f>T2434-W2434</f>
        <v>5.3733000000000004</v>
      </c>
      <c r="AL2434" s="5">
        <f>(T2434-W2434)/T2434</f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>(T2435-W2435)/T2435</f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>AJ2435</f>
        <v>0</v>
      </c>
      <c r="AG2435" s="2">
        <v>10.6</v>
      </c>
      <c r="AH2435" s="2">
        <v>18</v>
      </c>
      <c r="AJ2435" s="2">
        <f>AI2435*T2435</f>
        <v>0</v>
      </c>
      <c r="AK2435" s="2">
        <f>T2435-W2435</f>
        <v>14.8</v>
      </c>
      <c r="AL2435" s="5">
        <f>(T2435-W2435)/T2435</f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>(T2436-W2436)/T2436</f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>AJ2436</f>
        <v>0</v>
      </c>
      <c r="AJ2436" s="2">
        <f>AI2436*T2436</f>
        <v>0</v>
      </c>
      <c r="AK2436" s="2">
        <f>T2436-W2436</f>
        <v>36</v>
      </c>
      <c r="AL2436" s="5">
        <f>(T2436-W2436)/T2436</f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>(T2437-W2437)/T2437</f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>AJ2437</f>
        <v>0</v>
      </c>
      <c r="AJ2437" s="2">
        <f>AI2437*T2437</f>
        <v>0</v>
      </c>
      <c r="AK2437" s="2">
        <f>T2437-W2437</f>
        <v>25</v>
      </c>
      <c r="AL2437" s="5">
        <f>(T2437-W2437)/T2437</f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>(T2438-W2438)/T2438</f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>AJ2438</f>
        <v>0</v>
      </c>
      <c r="AJ2438" s="2">
        <f>AI2438*T2438</f>
        <v>0</v>
      </c>
      <c r="AK2438" s="2">
        <f>T2438-W2438</f>
        <v>352.72999999999996</v>
      </c>
      <c r="AL2438" s="5">
        <f>(T2438-W2438)/T2438</f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>(T2439-W2439)/T2439</f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>AJ2439</f>
        <v>0</v>
      </c>
      <c r="AJ2439" s="2">
        <f>AI2439*T2439</f>
        <v>0</v>
      </c>
      <c r="AK2439" s="2">
        <f>T2439-W2439</f>
        <v>102.6</v>
      </c>
      <c r="AL2439" s="5">
        <f>(T2439-W2439)/T2439</f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>(T2440-W2440)/T2440</f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>AJ2440</f>
        <v>0</v>
      </c>
      <c r="AJ2440" s="2">
        <f>AI2440*T2440</f>
        <v>0</v>
      </c>
      <c r="AK2440" s="2">
        <f>T2440-W2440</f>
        <v>25</v>
      </c>
      <c r="AL2440" s="5">
        <f>(T2440-W2440)/T2440</f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>(T2441-W2441)/T2441</f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>AJ2441</f>
        <v>0</v>
      </c>
      <c r="AJ2441" s="2">
        <f>AI2441*T2441</f>
        <v>0</v>
      </c>
      <c r="AK2441" s="2">
        <f>T2441-W2441</f>
        <v>6662</v>
      </c>
      <c r="AL2441" s="5">
        <f>(T2441-W2441)/T2441</f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>(T2442-W2442)/T2442</f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>AJ2442</f>
        <v>0</v>
      </c>
      <c r="AJ2442" s="2">
        <f>AI2442*T2442</f>
        <v>0</v>
      </c>
      <c r="AK2442" s="2">
        <f>T2442-W2442</f>
        <v>282.8</v>
      </c>
      <c r="AL2442" s="5">
        <f>(T2442-W2442)/T2442</f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>(T2443-W2443)/T2443</f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>AJ2443</f>
        <v>0</v>
      </c>
      <c r="AJ2443" s="2">
        <f>AI2443*T2443</f>
        <v>0</v>
      </c>
      <c r="AK2443" s="2">
        <f>T2443-W2443</f>
        <v>42.599999999999994</v>
      </c>
      <c r="AL2443" s="5">
        <f>(T2443-W2443)/T2443</f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>(T2444-W2444)/T2444</f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>AJ2444</f>
        <v>0</v>
      </c>
      <c r="AJ2444" s="2">
        <f>AI2444*T2444</f>
        <v>0</v>
      </c>
      <c r="AK2444" s="2">
        <f>T2444-W2444</f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>(T2445-W2445)/T2445</f>
        <v>1</v>
      </c>
      <c r="Z2445" s="2" t="s">
        <v>120</v>
      </c>
      <c r="AA2445" s="2" t="s">
        <v>3384</v>
      </c>
      <c r="AF2445" s="2">
        <f>AJ2445</f>
        <v>0</v>
      </c>
      <c r="AJ2445" s="2">
        <f>AI2445*T2445</f>
        <v>0</v>
      </c>
      <c r="AK2445" s="2">
        <f>T2445-W2445</f>
        <v>629.37</v>
      </c>
      <c r="AL2445" s="5">
        <f>(T2445-W2445)/T2445</f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M2446" s="2" t="s">
        <v>41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>(T2446-W2446)/T2446</f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>AJ2446</f>
        <v>0</v>
      </c>
      <c r="AG2446" s="2">
        <v>8.1999999999999993</v>
      </c>
      <c r="AH2446" s="2">
        <v>13</v>
      </c>
      <c r="AJ2446" s="2">
        <f>AI2446*T2446</f>
        <v>0</v>
      </c>
      <c r="AK2446" s="2">
        <f>T2446-W2446</f>
        <v>28</v>
      </c>
      <c r="AL2446" s="5">
        <f>(T2446-W2446)/T2446</f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>(T2447-W2447)/T2447</f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>AJ2447</f>
        <v>0</v>
      </c>
      <c r="AG2447" s="2">
        <v>117.453</v>
      </c>
      <c r="AH2447" s="2">
        <v>220</v>
      </c>
      <c r="AJ2447" s="2">
        <f>AI2447*T2447</f>
        <v>0</v>
      </c>
      <c r="AK2447" s="2">
        <f>T2447-W2447</f>
        <v>102.547</v>
      </c>
      <c r="AL2447" s="5">
        <f>(T2447-W2447)/T2447</f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>(T2448-W2448)/T2448</f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>AJ2448</f>
        <v>0</v>
      </c>
      <c r="AJ2448" s="2">
        <f>AI2448*T2448</f>
        <v>0</v>
      </c>
      <c r="AK2448" s="2">
        <f>T2448-W2448</f>
        <v>0</v>
      </c>
      <c r="AL2448" s="5">
        <f>(T2448-W2448)/T2448</f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3465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>(T2449-W2449)/T2449</f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>AJ2449</f>
        <v>0</v>
      </c>
      <c r="AG2449" s="2">
        <v>6468.73</v>
      </c>
      <c r="AJ2449" s="2">
        <f>AI2449*T2449</f>
        <v>0</v>
      </c>
      <c r="AK2449" s="2">
        <f>T2449-W2449</f>
        <v>2990.4799999999996</v>
      </c>
      <c r="AL2449" s="5">
        <f>(T2449-W2449)/T2449</f>
        <v>0.31614479433271908</v>
      </c>
    </row>
    <row r="2450" spans="1:38" x14ac:dyDescent="0.2">
      <c r="A2450" s="2">
        <v>2025</v>
      </c>
      <c r="B2450" s="2">
        <v>12</v>
      </c>
      <c r="C2450" s="2" t="s">
        <v>3464</v>
      </c>
      <c r="D2450" s="15" t="s">
        <v>3419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>(T2450-W2450)/T2450</f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>AJ2450</f>
        <v>0</v>
      </c>
      <c r="AG2450" s="2">
        <f>1294+95</f>
        <v>1389</v>
      </c>
      <c r="AJ2450" s="2">
        <f>AI2450*T2450</f>
        <v>0</v>
      </c>
      <c r="AK2450" s="2">
        <f>T2450-W2450</f>
        <v>121</v>
      </c>
      <c r="AL2450" s="5">
        <f>(T2450-W2450)/T2450</f>
        <v>8.0132450331125829E-2</v>
      </c>
    </row>
    <row r="2451" spans="1:38" x14ac:dyDescent="0.2">
      <c r="A2451" s="2">
        <v>2025</v>
      </c>
      <c r="B2451" s="2">
        <v>12</v>
      </c>
      <c r="C2451" s="2" t="s">
        <v>3464</v>
      </c>
      <c r="D2451" s="15" t="s">
        <v>3419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>AJ2451</f>
        <v>0</v>
      </c>
      <c r="AJ2451" s="2">
        <f>AI2451*T2451</f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3464</v>
      </c>
      <c r="D2452" s="15" t="s">
        <v>3419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>AJ2452</f>
        <v>0</v>
      </c>
      <c r="AG2452" s="2">
        <v>2190</v>
      </c>
      <c r="AJ2452" s="2">
        <f>AI2452*T2452</f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3464</v>
      </c>
      <c r="D2453" s="15" t="s">
        <v>3419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>AJ2453</f>
        <v>0</v>
      </c>
      <c r="AJ2453" s="2">
        <f>AI2453*T2453</f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>AJ2454</f>
        <v>0</v>
      </c>
      <c r="AG2454" s="2">
        <v>107.72</v>
      </c>
      <c r="AJ2454" s="2">
        <f>AI2454*T2454</f>
        <v>0</v>
      </c>
      <c r="AK2454" s="2">
        <f>T2454-W2454</f>
        <v>113.08000000000001</v>
      </c>
      <c r="AL2454" s="5">
        <f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170</v>
      </c>
      <c r="AA2455" s="2" t="s">
        <v>170</v>
      </c>
      <c r="AF2455" s="2">
        <f>AJ2455</f>
        <v>0</v>
      </c>
      <c r="AJ2455" s="2">
        <f>AI2455*T2455</f>
        <v>0</v>
      </c>
      <c r="AK2455" s="2">
        <f>T2455-W2455</f>
        <v>2</v>
      </c>
      <c r="AL2455" s="5">
        <f>(T2455-W2455)/T2455</f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>AJ2456</f>
        <v>0</v>
      </c>
      <c r="AJ2456" s="2">
        <f>AI2456*T2456</f>
        <v>0</v>
      </c>
      <c r="AK2456" s="2">
        <f>T2456-W2456</f>
        <v>0</v>
      </c>
      <c r="AL2456" s="5">
        <f>(T2456-W2456)/T2456</f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120</v>
      </c>
      <c r="AA2457" s="2" t="s">
        <v>493</v>
      </c>
      <c r="AF2457" s="2">
        <f>AJ2457</f>
        <v>0</v>
      </c>
      <c r="AJ2457" s="2">
        <f>AI2457*T2457</f>
        <v>0</v>
      </c>
      <c r="AK2457" s="2">
        <f>T2457-W2457</f>
        <v>664.04</v>
      </c>
      <c r="AL2457" s="5">
        <f>(T2457-W2457)/T2457</f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>AJ2458</f>
        <v>0</v>
      </c>
      <c r="AJ2458" s="2">
        <f>AI2458*T2458</f>
        <v>0</v>
      </c>
      <c r="AK2458" s="2">
        <f>T2458-W2458</f>
        <v>0</v>
      </c>
      <c r="AL2458" s="5" t="e">
        <f>(T2458-W2458)/T2458</f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>(T2459-W2459)/T2459</f>
        <v>1</v>
      </c>
      <c r="Z2459" s="2" t="s">
        <v>105</v>
      </c>
      <c r="AF2459" s="2">
        <f>AJ2459</f>
        <v>0</v>
      </c>
      <c r="AJ2459" s="2">
        <f>AI2459*T2459</f>
        <v>0</v>
      </c>
      <c r="AK2459" s="2">
        <f>T2459-W2459</f>
        <v>8500</v>
      </c>
      <c r="AL2459" s="5">
        <f>(T2459-W2459)/T2459</f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>(T2460-W2460)/T2460</f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>AJ2460</f>
        <v>0</v>
      </c>
      <c r="AJ2460" s="2">
        <f>AI2460*T2460</f>
        <v>0</v>
      </c>
      <c r="AK2460" s="2">
        <f>T2460-W2460</f>
        <v>4320.6000000000004</v>
      </c>
      <c r="AL2460" s="5">
        <f>(T2460-W2460)/T2460</f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>(T2461-W2461)/T2461</f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>AJ2461</f>
        <v>0</v>
      </c>
      <c r="AJ2461" s="2">
        <f>AI2461*T2461</f>
        <v>0</v>
      </c>
      <c r="AK2461" s="2">
        <f>T2461-W2461</f>
        <v>30</v>
      </c>
      <c r="AL2461" s="5">
        <f>(T2461-W2461)/T2461</f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>(T2462-W2462)/T2462</f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>AJ2462</f>
        <v>0</v>
      </c>
      <c r="AJ2462" s="2">
        <f>AI2462*T2462</f>
        <v>0</v>
      </c>
      <c r="AK2462" s="2">
        <f>T2462-W2462</f>
        <v>25</v>
      </c>
      <c r="AL2462" s="5">
        <f>(T2462-W2462)/T2462</f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>(T2463-W2463)/T2463</f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>AJ2463</f>
        <v>0</v>
      </c>
      <c r="AJ2463" s="2">
        <f>AI2463*T2463</f>
        <v>0</v>
      </c>
      <c r="AK2463" s="2">
        <f>T2463-W2463</f>
        <v>699.3</v>
      </c>
      <c r="AL2463" s="5">
        <f>(T2463-W2463)/T2463</f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>(T2464-W2464)/T2464</f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>AJ2464</f>
        <v>0</v>
      </c>
      <c r="AJ2464" s="2">
        <f>AI2464*T2464</f>
        <v>0</v>
      </c>
      <c r="AK2464" s="2">
        <f>T2464-W2464</f>
        <v>254.19659999999999</v>
      </c>
      <c r="AL2464" s="5">
        <f>(T2464-W2464)/T2464</f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>(T2465-W2465)/T2465</f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>AJ2465</f>
        <v>0</v>
      </c>
      <c r="AJ2465" s="2">
        <f>AI2465*T2465</f>
        <v>0</v>
      </c>
      <c r="AK2465" s="2">
        <f>T2465-W2465</f>
        <v>40.200000000000003</v>
      </c>
      <c r="AL2465" s="5">
        <f>(T2465-W2465)/T2465</f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>(T2466-W2466)/T2466</f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>AJ2466</f>
        <v>0</v>
      </c>
      <c r="AJ2466" s="2">
        <f>AI2466*T2466</f>
        <v>0</v>
      </c>
      <c r="AK2466" s="2">
        <f>T2466-W2466</f>
        <v>25</v>
      </c>
      <c r="AL2466" s="5">
        <f>(T2466-W2466)/T2466</f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>(T2467-W2467)/T2467</f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>AJ2467</f>
        <v>0</v>
      </c>
      <c r="AG2467" s="2">
        <v>6.6266999999999996</v>
      </c>
      <c r="AH2467" s="2">
        <v>12</v>
      </c>
      <c r="AJ2467" s="2">
        <f>AI2467*T2467</f>
        <v>0</v>
      </c>
      <c r="AK2467" s="2">
        <f>T2467-W2467</f>
        <v>10.746600000000001</v>
      </c>
      <c r="AL2467" s="5">
        <f>(T2467-W2467)/T2467</f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>(T2468-W2468)/T2468</f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>AJ2468</f>
        <v>0</v>
      </c>
      <c r="AJ2468" s="2">
        <f>AI2468*T2468</f>
        <v>0</v>
      </c>
      <c r="AK2468" s="2">
        <f>T2468-W2468</f>
        <v>11.2</v>
      </c>
      <c r="AL2468" s="5">
        <f>(T2468-W2468)/T2468</f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>(T2469-W2469)/T2469</f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>AJ2469</f>
        <v>0</v>
      </c>
      <c r="AJ2469" s="2">
        <f>AI2469*T2469</f>
        <v>0</v>
      </c>
      <c r="AK2469" s="2">
        <f>T2469-W2469</f>
        <v>27</v>
      </c>
      <c r="AL2469" s="5">
        <f>(T2469-W2469)/T2469</f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>(T2470-W2470)/T2470</f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>AJ2470</f>
        <v>0</v>
      </c>
      <c r="AG2470" s="2">
        <v>5.9066999999999998</v>
      </c>
      <c r="AH2470" s="2">
        <v>12.6</v>
      </c>
      <c r="AJ2470" s="2">
        <f>AI2470*T2470</f>
        <v>0</v>
      </c>
      <c r="AK2470" s="2">
        <f>T2470-W2470</f>
        <v>6.0933000000000002</v>
      </c>
      <c r="AL2470" s="5">
        <f>(T2470-W2470)/T2470</f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>(T2471-W2471)/T2471</f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>AJ2471</f>
        <v>0</v>
      </c>
      <c r="AG2471" s="2">
        <v>7.2217000000000002</v>
      </c>
      <c r="AH2471" s="2">
        <v>14.4</v>
      </c>
      <c r="AJ2471" s="2">
        <f>AI2471*T2471</f>
        <v>0</v>
      </c>
      <c r="AK2471" s="2">
        <f>T2471-W2471</f>
        <v>5.9782999999999991</v>
      </c>
      <c r="AL2471" s="5">
        <f>(T2471-W2471)/T2471</f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>(T2472-W2472)/T2472</f>
        <v>0.44138749999999999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>AJ2472</f>
        <v>0</v>
      </c>
      <c r="AJ2472" s="2">
        <f>AI2472*T2472</f>
        <v>0</v>
      </c>
      <c r="AK2472" s="2">
        <f>T2472-W2472</f>
        <v>10.593299999999999</v>
      </c>
      <c r="AL2472" s="5">
        <f>(T2472-W2472)/T2472</f>
        <v>0.44138749999999999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>(T2473-W2473)/T2473</f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>AJ2473</f>
        <v>0</v>
      </c>
      <c r="AG2473" s="2">
        <v>10.6</v>
      </c>
      <c r="AH2473" s="2">
        <v>18</v>
      </c>
      <c r="AJ2473" s="2">
        <f>AI2473*T2473</f>
        <v>0</v>
      </c>
      <c r="AK2473" s="2">
        <f>T2473-W2473</f>
        <v>24.400000000000002</v>
      </c>
      <c r="AL2473" s="5">
        <f>(T2473-W2473)/T2473</f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>(T2474-W2474)/T2474</f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>AJ2474</f>
        <v>0</v>
      </c>
      <c r="AJ2474" s="2">
        <f>AI2474*T2474</f>
        <v>0</v>
      </c>
      <c r="AK2474" s="2">
        <f>T2474-W2474</f>
        <v>354.09659999999997</v>
      </c>
      <c r="AL2474" s="5">
        <f>(T2474-W2474)/T2474</f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>(T2475-W2475)/T2475</f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>AJ2475</f>
        <v>0</v>
      </c>
      <c r="AJ2475" s="2">
        <f>AI2475*T2475</f>
        <v>0</v>
      </c>
      <c r="AK2475" s="2">
        <f>T2475-W2475</f>
        <v>69</v>
      </c>
      <c r="AL2475" s="5">
        <f>(T2475-W2475)/T2475</f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>(T2476-W2476)/T2476</f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>AJ2476</f>
        <v>0</v>
      </c>
      <c r="AJ2476" s="2">
        <f>AI2476*T2476</f>
        <v>0</v>
      </c>
      <c r="AK2476" s="2">
        <f>T2476-W2476</f>
        <v>25</v>
      </c>
      <c r="AL2476" s="5">
        <f>(T2476-W2476)/T2476</f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E2477" s="2" t="s">
        <v>109</v>
      </c>
      <c r="F2477" s="2" t="s">
        <v>39</v>
      </c>
      <c r="L2477" s="2" t="s">
        <v>100</v>
      </c>
      <c r="M2477" s="2" t="s">
        <v>41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>(T2477-W2477)/T2477</f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>AJ2477</f>
        <v>0</v>
      </c>
      <c r="AG2477" s="2">
        <v>15.020300000000001</v>
      </c>
      <c r="AH2477" s="2">
        <v>27.6</v>
      </c>
      <c r="AJ2477" s="2">
        <f>AI2477*T2477</f>
        <v>0</v>
      </c>
      <c r="AK2477" s="2">
        <f>T2477-W2477</f>
        <v>64.796999999999997</v>
      </c>
      <c r="AL2477" s="5">
        <f>(T2477-W2477)/T2477</f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>(T2478-W2478)/T2478</f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>AJ2478</f>
        <v>0</v>
      </c>
      <c r="AG2478" s="2">
        <v>10.6</v>
      </c>
      <c r="AH2478" s="2">
        <v>18</v>
      </c>
      <c r="AJ2478" s="2">
        <f>AI2478*T2478</f>
        <v>0</v>
      </c>
      <c r="AK2478" s="2">
        <f>T2478-W2478</f>
        <v>29.6</v>
      </c>
      <c r="AL2478" s="5">
        <f>(T2478-W2478)/T2478</f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>(T2479-W2479)/T2479</f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>AJ2479</f>
        <v>0</v>
      </c>
      <c r="AG2479" s="2">
        <v>8.1999999999999993</v>
      </c>
      <c r="AH2479" s="2">
        <v>13</v>
      </c>
      <c r="AJ2479" s="2">
        <f>AI2479*T2479</f>
        <v>0</v>
      </c>
      <c r="AK2479" s="2">
        <f>T2479-W2479</f>
        <v>15.199999999999996</v>
      </c>
      <c r="AL2479" s="5">
        <f>(T2479-W2479)/T2479</f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>(T2480-W2480)/T2480</f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>AJ2480</f>
        <v>0</v>
      </c>
      <c r="AG2480" s="2">
        <v>7.9611999999999998</v>
      </c>
      <c r="AH2480" s="2">
        <v>14.4</v>
      </c>
      <c r="AJ2480" s="2">
        <f>AI2480*T2480</f>
        <v>0</v>
      </c>
      <c r="AK2480" s="2">
        <f>T2480-W2480</f>
        <v>13.0776</v>
      </c>
      <c r="AL2480" s="5">
        <f>(T2480-W2480)/T2480</f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>(T2481-W2481)/T2481</f>
        <v>1</v>
      </c>
      <c r="Z2481" s="2" t="s">
        <v>118</v>
      </c>
      <c r="AF2481" s="2">
        <f>AJ2481</f>
        <v>0</v>
      </c>
      <c r="AJ2481" s="2">
        <f>AI2481*T2481</f>
        <v>0</v>
      </c>
      <c r="AK2481" s="2">
        <f>T2481-W2481</f>
        <v>65.72</v>
      </c>
      <c r="AL2481" s="5">
        <f>(T2481-W2481)/T2481</f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>(T2482-W2482)/T2482</f>
        <v>1</v>
      </c>
      <c r="Z2482" s="2" t="s">
        <v>118</v>
      </c>
      <c r="AF2482" s="2">
        <f>AJ2482</f>
        <v>0</v>
      </c>
      <c r="AJ2482" s="2">
        <f>AI2482*T2482</f>
        <v>0</v>
      </c>
      <c r="AK2482" s="2">
        <f>T2482-W2482</f>
        <v>28.57</v>
      </c>
      <c r="AL2482" s="5">
        <f>(T2482-W2482)/T2482</f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>(T2483-W2483)/T2483</f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>AJ2483</f>
        <v>0</v>
      </c>
      <c r="AJ2483" s="2">
        <f>AI2483*T2483</f>
        <v>0</v>
      </c>
      <c r="AK2483" s="2">
        <f>T2483-W2483</f>
        <v>110.39999999999999</v>
      </c>
      <c r="AL2483" s="5">
        <f>(T2483-W2483)/T2483</f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>(T2484-W2484)/T2484</f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>AJ2484</f>
        <v>0</v>
      </c>
      <c r="AJ2484" s="2">
        <f>AI2484*T2484</f>
        <v>0</v>
      </c>
      <c r="AK2484" s="2">
        <f>T2484-W2484</f>
        <v>31.25</v>
      </c>
      <c r="AL2484" s="5">
        <f>(T2484-W2484)/T2484</f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>(T2485-W2485)/T2485</f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>AJ2485</f>
        <v>0</v>
      </c>
      <c r="AG2485" s="2">
        <v>6468.73</v>
      </c>
      <c r="AJ2485" s="2">
        <f>AI2485*T2485</f>
        <v>0</v>
      </c>
      <c r="AK2485" s="2">
        <f>T2485-W2485</f>
        <v>3461.2700000000004</v>
      </c>
      <c r="AL2485" s="5">
        <f>(T2485-W2485)/T2485</f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>(T2486-W2486)/T2486</f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>AJ2486</f>
        <v>0</v>
      </c>
      <c r="AG2486" s="2">
        <v>117.453</v>
      </c>
      <c r="AH2486" s="2">
        <v>220</v>
      </c>
      <c r="AJ2486" s="2">
        <f>AI2486*T2486</f>
        <v>0</v>
      </c>
      <c r="AK2486" s="2">
        <f>T2486-W2486</f>
        <v>102.42699999999999</v>
      </c>
      <c r="AL2486" s="5">
        <f>(T2486-W2486)/T2486</f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>(T2487-W2487)/T2487</f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>AJ2487</f>
        <v>0</v>
      </c>
      <c r="AJ2487" s="2">
        <f>AI2487*T2487</f>
        <v>0</v>
      </c>
      <c r="AK2487" s="2">
        <f>T2487-W2487</f>
        <v>113.60999999999999</v>
      </c>
      <c r="AL2487" s="5">
        <f>(T2487-W2487)/T2487</f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>AJ2488</f>
        <v>0</v>
      </c>
      <c r="AJ2488" s="2">
        <f>AI2488*T2488</f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>AJ2489</f>
        <v>0</v>
      </c>
      <c r="AJ2489" s="2">
        <f>AI2489*T2489</f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>AJ2490</f>
        <v>0</v>
      </c>
      <c r="AJ2490" s="2">
        <f>AI2490*T2490</f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>AJ2491</f>
        <v>0</v>
      </c>
      <c r="AJ2491" s="2">
        <f>AI2491*T2491</f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>AJ2492</f>
        <v>0</v>
      </c>
      <c r="AJ2492" s="2">
        <f>AI2492*T2492</f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>AJ2493</f>
        <v>0</v>
      </c>
      <c r="AJ2493" s="2">
        <f>AI2493*T2493</f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>(T2494-W2494)/T2494</f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>AJ2494</f>
        <v>0</v>
      </c>
      <c r="AJ2494" s="2">
        <f>AI2494*T2494</f>
        <v>0</v>
      </c>
      <c r="AK2494" s="2">
        <f>T2494-W2494</f>
        <v>173.82000000000005</v>
      </c>
      <c r="AL2494" s="5">
        <f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>(T2495-W2495)/T2495</f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>AJ2495</f>
        <v>0</v>
      </c>
      <c r="AJ2495" s="2">
        <f>AI2495*T2495</f>
        <v>0</v>
      </c>
      <c r="AK2495" s="2">
        <f>T2495-W2495</f>
        <v>25.8736</v>
      </c>
      <c r="AL2495" s="5">
        <f>(T2495-W2495)/T2495</f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>(T2496-W2496)/T2496</f>
        <v>1</v>
      </c>
      <c r="AF2496" s="2">
        <f>AJ2496</f>
        <v>0</v>
      </c>
      <c r="AJ2496" s="2">
        <f>AI2496*T2496</f>
        <v>0</v>
      </c>
      <c r="AK2496" s="2">
        <f>T2496-W2496</f>
        <v>845.25</v>
      </c>
      <c r="AL2496" s="5">
        <f>(T2496-W2496)/T2496</f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>(T2497-W2497)/T2497</f>
        <v>1</v>
      </c>
      <c r="AF2497" s="2">
        <f>AJ2497</f>
        <v>0</v>
      </c>
      <c r="AJ2497" s="2">
        <f>AI2497*T2497</f>
        <v>0</v>
      </c>
      <c r="AK2497" s="2">
        <f>T2497-W2497</f>
        <v>886.2</v>
      </c>
      <c r="AL2497" s="5">
        <f>(T2497-W2497)/T2497</f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>(T2498-W2498)/T2498</f>
        <v>1</v>
      </c>
      <c r="AF2498" s="2">
        <f>AJ2498</f>
        <v>0</v>
      </c>
      <c r="AJ2498" s="2">
        <f>AI2498*T2498</f>
        <v>0</v>
      </c>
      <c r="AK2498" s="2">
        <f>T2498-W2498</f>
        <v>631.04999999999995</v>
      </c>
      <c r="AL2498" s="5">
        <f>(T2498-W2498)/T2498</f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>(T2499-W2499)/T2499</f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>AJ2499</f>
        <v>0</v>
      </c>
      <c r="AJ2499" s="2">
        <f>AI2499*T2499</f>
        <v>0</v>
      </c>
      <c r="AK2499" s="2">
        <f>T2499-W2499</f>
        <v>64.29000000000002</v>
      </c>
      <c r="AL2499" s="5">
        <f>(T2499-W2499)/T2499</f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>(T2500-W2500)/T2500</f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>AJ2500</f>
        <v>0</v>
      </c>
      <c r="AJ2500" s="2">
        <f>AI2500*T2500</f>
        <v>0</v>
      </c>
      <c r="AK2500" s="2">
        <f>T2500-W2500</f>
        <v>160.37</v>
      </c>
      <c r="AL2500" s="5">
        <f>(T2500-W2500)/T2500</f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>(T2501-W2501)/T2501</f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>AJ2501</f>
        <v>0</v>
      </c>
      <c r="AJ2501" s="2">
        <f>AI2501*T2501</f>
        <v>0</v>
      </c>
      <c r="AK2501" s="2">
        <f>T2501-W2501</f>
        <v>161.70000000000005</v>
      </c>
      <c r="AL2501" s="5">
        <f>(T2501-W2501)/T2501</f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>(T2502-W2502)/T2502</f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>AJ2502</f>
        <v>0</v>
      </c>
      <c r="AJ2502" s="2">
        <f>AI2502*T2502</f>
        <v>0</v>
      </c>
      <c r="AK2502" s="2">
        <f>T2502-W2502</f>
        <v>64.680000000000007</v>
      </c>
      <c r="AL2502" s="5">
        <f>(T2502-W2502)/T2502</f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3390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>(T2503-W2503)/T2503</f>
        <v>0</v>
      </c>
      <c r="Z2503" s="2" t="s">
        <v>3231</v>
      </c>
      <c r="AA2503" s="2" t="s">
        <v>2171</v>
      </c>
      <c r="AB2503" s="2" t="s">
        <v>2172</v>
      </c>
      <c r="AC2503" s="2" t="s">
        <v>3390</v>
      </c>
      <c r="AF2503" s="2">
        <f>AJ2503</f>
        <v>0</v>
      </c>
      <c r="AJ2503" s="2">
        <f>AI2503*T2503</f>
        <v>0</v>
      </c>
      <c r="AK2503" s="2">
        <f>T2503-W2503</f>
        <v>0</v>
      </c>
      <c r="AL2503" s="5">
        <f>(T2503-W2503)/T2503</f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3400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>(T2504-W2504)/T2504</f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3400</v>
      </c>
      <c r="AF2504" s="2">
        <f>AJ2504</f>
        <v>0</v>
      </c>
      <c r="AJ2504" s="2">
        <f>AI2504*T2504</f>
        <v>0</v>
      </c>
      <c r="AK2504" s="2">
        <f>T2504-W2504</f>
        <v>0.28999999999999204</v>
      </c>
      <c r="AL2504" s="5">
        <f>(T2504-W2504)/T2504</f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3400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>(T2505-W2505)/T2505</f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3400</v>
      </c>
      <c r="AF2505" s="2">
        <f>AJ2505</f>
        <v>0</v>
      </c>
      <c r="AJ2505" s="2">
        <f>AI2505*T2505</f>
        <v>0</v>
      </c>
      <c r="AK2505" s="2">
        <f>T2505-W2505</f>
        <v>0.28999999999999204</v>
      </c>
      <c r="AL2505" s="5">
        <f>(T2505-W2505)/T2505</f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>(T2506-W2506)/T2506</f>
        <v>1</v>
      </c>
      <c r="Z2506" s="2" t="s">
        <v>170</v>
      </c>
      <c r="AA2506" s="2" t="s">
        <v>170</v>
      </c>
      <c r="AF2506" s="2">
        <f>AJ2506</f>
        <v>0</v>
      </c>
      <c r="AJ2506" s="2">
        <f>AI2506*T2506</f>
        <v>0</v>
      </c>
      <c r="AK2506" s="2">
        <f>T2506-W2506</f>
        <v>115</v>
      </c>
      <c r="AL2506" s="5">
        <f>(T2506-W2506)/T2506</f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>(T2507-W2507)/T2507</f>
        <v>1</v>
      </c>
      <c r="Z2507" s="2" t="s">
        <v>118</v>
      </c>
      <c r="AF2507" s="2">
        <f>AJ2507</f>
        <v>0</v>
      </c>
      <c r="AJ2507" s="2">
        <f>AI2507*T2507</f>
        <v>0</v>
      </c>
      <c r="AK2507" s="2">
        <f>T2507-W2507</f>
        <v>10.78</v>
      </c>
      <c r="AL2507" s="5">
        <f>(T2507-W2507)/T2507</f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>(T2508-W2508)/T2508</f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>AJ2508</f>
        <v>0</v>
      </c>
      <c r="AJ2508" s="2">
        <f>AI2508*T2508</f>
        <v>0</v>
      </c>
      <c r="AK2508" s="2">
        <f>T2508-W2508</f>
        <v>43.8</v>
      </c>
      <c r="AL2508" s="5">
        <f>(T2508-W2508)/T2508</f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>(T2509-W2509)/T2509</f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>AJ2509</f>
        <v>0</v>
      </c>
      <c r="AJ2509" s="2">
        <f>AI2509*T2509</f>
        <v>0</v>
      </c>
      <c r="AK2509" s="2">
        <f>T2509-W2509</f>
        <v>25</v>
      </c>
      <c r="AL2509" s="5">
        <f>(T2509-W2509)/T2509</f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>(T2510-W2510)/T2510</f>
        <v>1</v>
      </c>
      <c r="Z2510" s="2" t="s">
        <v>120</v>
      </c>
      <c r="AA2510" s="2" t="s">
        <v>3384</v>
      </c>
      <c r="AF2510" s="2">
        <f>AJ2510</f>
        <v>0</v>
      </c>
      <c r="AJ2510" s="2">
        <f>AI2510*T2510</f>
        <v>0</v>
      </c>
      <c r="AK2510" s="2">
        <f>T2510-W2510</f>
        <v>50.05</v>
      </c>
      <c r="AL2510" s="5">
        <f>(T2510-W2510)/T2510</f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>(T2511-W2511)/T2511</f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>AJ2511</f>
        <v>0</v>
      </c>
      <c r="AG2511" s="2">
        <f>10972.65+500</f>
        <v>11472.65</v>
      </c>
      <c r="AJ2511" s="2">
        <f>AI2511*T2511</f>
        <v>0</v>
      </c>
      <c r="AK2511" s="2">
        <f>T2511-W2511</f>
        <v>5517.35</v>
      </c>
      <c r="AL2511" s="5">
        <f>(T2511-W2511)/T2511</f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>(T2512-W2512)/T2512</f>
        <v>1</v>
      </c>
      <c r="Z2512" s="2" t="s">
        <v>118</v>
      </c>
      <c r="AF2512" s="2">
        <f>AJ2512</f>
        <v>0</v>
      </c>
      <c r="AJ2512" s="2">
        <f>AI2512*T2512</f>
        <v>0</v>
      </c>
      <c r="AK2512" s="2">
        <f>T2512-W2512</f>
        <v>94.68</v>
      </c>
      <c r="AL2512" s="5">
        <f>(T2512-W2512)/T2512</f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>(T2513-W2513)/T2513</f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>AJ2513</f>
        <v>0</v>
      </c>
      <c r="AJ2513" s="2">
        <f>AI2513*T2513</f>
        <v>0</v>
      </c>
      <c r="AK2513" s="2">
        <f>T2513-W2513</f>
        <v>10849.029999999999</v>
      </c>
      <c r="AL2513" s="5">
        <f>(T2513-W2513)/T2513</f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>AJ2514</f>
        <v>0</v>
      </c>
      <c r="AG2514" s="2">
        <f>144.14+15.4</f>
        <v>159.54</v>
      </c>
      <c r="AH2514" s="2">
        <v>280</v>
      </c>
      <c r="AJ2514" s="2">
        <f>AI2514*T2514</f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>AJ2515</f>
        <v>0</v>
      </c>
      <c r="AJ2515" s="2">
        <f>AI2515*T2515</f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>AJ2516</f>
        <v>0</v>
      </c>
      <c r="AJ2516" s="2">
        <f>AI2516*T2516</f>
        <v>0</v>
      </c>
      <c r="AK2516" s="2">
        <f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>AJ2517</f>
        <v>0</v>
      </c>
      <c r="AG2517" s="2">
        <v>6.6266999999999996</v>
      </c>
      <c r="AH2517" s="2">
        <v>12</v>
      </c>
      <c r="AJ2517" s="2">
        <f>AI2517*T2517</f>
        <v>0</v>
      </c>
      <c r="AK2517" s="2">
        <f>T2517-W2517</f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>AJ2518</f>
        <v>0</v>
      </c>
      <c r="AG2518" s="2">
        <v>3.7357999999999998</v>
      </c>
      <c r="AH2518" s="2">
        <v>9</v>
      </c>
      <c r="AJ2518" s="2">
        <f>AI2518*T2518</f>
        <v>0</v>
      </c>
      <c r="AK2518" s="2">
        <f>T2518-W2518</f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>AJ2519</f>
        <v>0</v>
      </c>
      <c r="AJ2519" s="2">
        <f>AI2519*T2519</f>
        <v>0</v>
      </c>
      <c r="AK2519" s="2">
        <f>T2519-W2519</f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>AJ2520</f>
        <v>0</v>
      </c>
      <c r="AJ2520" s="2">
        <f>AI2520*T2520</f>
        <v>0</v>
      </c>
      <c r="AK2520" s="2">
        <f>T2520-W2520</f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>AJ2521</f>
        <v>0</v>
      </c>
      <c r="AG2521" s="2">
        <v>9.14</v>
      </c>
      <c r="AH2521" s="2">
        <v>16</v>
      </c>
      <c r="AJ2521" s="2">
        <f>AI2521*T2521</f>
        <v>0</v>
      </c>
      <c r="AK2521" s="2">
        <f>T2521-W2521</f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>AJ2522</f>
        <v>0</v>
      </c>
      <c r="AG2522" s="2">
        <v>8.1999999999999993</v>
      </c>
      <c r="AH2522" s="2">
        <v>13</v>
      </c>
      <c r="AJ2522" s="2">
        <f>AI2522*T2522</f>
        <v>0</v>
      </c>
      <c r="AK2522" s="2">
        <f>T2522-W2522</f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>AJ2523</f>
        <v>0</v>
      </c>
      <c r="AJ2523" s="2">
        <f>AI2523*T2523</f>
        <v>0</v>
      </c>
      <c r="AK2523" s="2">
        <f>T2523-W2523</f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>AJ2524</f>
        <v>0</v>
      </c>
      <c r="AG2524" s="2">
        <v>15.020300000000001</v>
      </c>
      <c r="AH2524" s="2">
        <v>27.6</v>
      </c>
      <c r="AJ2524" s="2">
        <f>AI2524*T2524</f>
        <v>0</v>
      </c>
      <c r="AK2524" s="2">
        <f>T2524-W2524</f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>AJ2525</f>
        <v>0</v>
      </c>
      <c r="AJ2525" s="2">
        <f>AI2525*T2525</f>
        <v>0</v>
      </c>
      <c r="AK2525" s="2">
        <f>T2525-W2525</f>
        <v>0</v>
      </c>
      <c r="AL2525" s="5" t="e">
        <f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>AJ2526</f>
        <v>0</v>
      </c>
      <c r="AJ2526" s="2">
        <f>AI2526*T2526</f>
        <v>0</v>
      </c>
      <c r="AK2526" s="2">
        <f>T2526-W2526</f>
        <v>0</v>
      </c>
      <c r="AL2526" s="5" t="e">
        <f>(T2526-W2526)/T2526</f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>AJ2527</f>
        <v>0</v>
      </c>
      <c r="AJ2527" s="2">
        <f>AI2527*T2527</f>
        <v>0</v>
      </c>
      <c r="AK2527" s="2">
        <f>T2527-W2527</f>
        <v>0</v>
      </c>
      <c r="AL2527" s="5" t="e">
        <f>(T2527-W2527)/T2527</f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>AJ2528</f>
        <v>0</v>
      </c>
      <c r="AJ2528" s="2">
        <f>AI2528*T2528</f>
        <v>0</v>
      </c>
      <c r="AK2528" s="2">
        <f>T2528-W2528</f>
        <v>9.5599999999999987</v>
      </c>
      <c r="AL2528" s="5">
        <f>(T2528-W2528)/T2528</f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M2529" s="2" t="s">
        <v>41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>(T2529-W2529)/T2529</f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>AJ2529</f>
        <v>0</v>
      </c>
      <c r="AG2529" s="2">
        <v>10.6</v>
      </c>
      <c r="AH2529" s="2">
        <v>18</v>
      </c>
      <c r="AJ2529" s="2">
        <f>AI2529*T2529</f>
        <v>0</v>
      </c>
      <c r="AK2529" s="2">
        <f>T2529-W2529</f>
        <v>27</v>
      </c>
      <c r="AL2529" s="5">
        <f>(T2529-W2529)/T2529</f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M2530" s="2" t="s">
        <v>41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>(T2530-W2530)/T2530</f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>AJ2530</f>
        <v>0</v>
      </c>
      <c r="AG2530" s="2">
        <v>15.020300000000001</v>
      </c>
      <c r="AH2530" s="2">
        <v>27.6</v>
      </c>
      <c r="AJ2530" s="2">
        <f>AI2530*T2530</f>
        <v>0</v>
      </c>
      <c r="AK2530" s="2">
        <f>T2530-W2530</f>
        <v>9.9796999999999993</v>
      </c>
      <c r="AL2530" s="5">
        <f>(T2530-W2530)/T2530</f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>(T2531-W2531)/T2531</f>
        <v>1</v>
      </c>
      <c r="Z2531" s="2" t="s">
        <v>170</v>
      </c>
      <c r="AA2531" s="2" t="s">
        <v>170</v>
      </c>
      <c r="AF2531" s="2">
        <f>AJ2531</f>
        <v>0</v>
      </c>
      <c r="AJ2531" s="2">
        <f>AI2531*T2531</f>
        <v>0</v>
      </c>
      <c r="AK2531" s="2">
        <f>T2531-W2531</f>
        <v>5</v>
      </c>
      <c r="AL2531" s="5">
        <f>(T2531-W2531)/T2531</f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>(T2532-W2532)/T2532</f>
        <v>0.88333333333333341</v>
      </c>
      <c r="Z2532" s="2" t="s">
        <v>3231</v>
      </c>
      <c r="AA2532" s="2" t="s">
        <v>156</v>
      </c>
      <c r="AB2532" s="2" t="s">
        <v>3407</v>
      </c>
      <c r="AC2532" s="2" t="s">
        <v>1329</v>
      </c>
      <c r="AF2532" s="2">
        <f>AJ2532</f>
        <v>0</v>
      </c>
      <c r="AJ2532" s="2">
        <f>AI2532*T2532</f>
        <v>0</v>
      </c>
      <c r="AK2532" s="2">
        <f>T2532-W2532</f>
        <v>47.7</v>
      </c>
      <c r="AL2532" s="5">
        <f>(T2532-W2532)/T2532</f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>(T2533-W2533)/T2533</f>
        <v>0.30000000000000004</v>
      </c>
      <c r="Z2533" s="2" t="s">
        <v>3231</v>
      </c>
      <c r="AA2533" s="2" t="s">
        <v>156</v>
      </c>
      <c r="AB2533" s="2" t="s">
        <v>3407</v>
      </c>
      <c r="AC2533" s="2" t="s">
        <v>1329</v>
      </c>
      <c r="AF2533" s="2">
        <f>AJ2533</f>
        <v>0</v>
      </c>
      <c r="AJ2533" s="2">
        <f>AI2533*T2533</f>
        <v>0</v>
      </c>
      <c r="AK2533" s="2">
        <f>T2533-W2533</f>
        <v>9.6000000000000014</v>
      </c>
      <c r="AL2533" s="5">
        <f>(T2533-W2533)/T2533</f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>(T2534-W2534)/T2534</f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>AJ2534</f>
        <v>0</v>
      </c>
      <c r="AG2534" s="2">
        <v>124.4</v>
      </c>
      <c r="AH2534" s="2">
        <v>200</v>
      </c>
      <c r="AJ2534" s="2">
        <f>AI2534*T2534</f>
        <v>0</v>
      </c>
      <c r="AK2534" s="2">
        <f>T2534-W2534</f>
        <v>89</v>
      </c>
      <c r="AL2534" s="5">
        <f>(T2534-W2534)/T2534</f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>(T2535-W2535)/T2535</f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>AJ2535</f>
        <v>0</v>
      </c>
      <c r="AJ2535" s="2">
        <f>AI2535*T2535</f>
        <v>0</v>
      </c>
      <c r="AK2535" s="2">
        <f>T2535-W2535</f>
        <v>93.00500000000001</v>
      </c>
      <c r="AL2535" s="5">
        <f>(T2535-W2535)/T2535</f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>(T2536-W2536)/T2536</f>
        <v>0.23333333333333334</v>
      </c>
      <c r="Z2536" s="2" t="s">
        <v>170</v>
      </c>
      <c r="AA2536" s="2" t="s">
        <v>170</v>
      </c>
      <c r="AF2536" s="2">
        <f>AJ2536</f>
        <v>0</v>
      </c>
      <c r="AJ2536" s="2">
        <f>AI2536*T2536</f>
        <v>0</v>
      </c>
      <c r="AK2536" s="2">
        <f>T2536-W2536</f>
        <v>7</v>
      </c>
      <c r="AL2536" s="5">
        <f>(T2536-W2536)/T2536</f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>(T2537-W2537)/T2537</f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>AJ2537</f>
        <v>0</v>
      </c>
      <c r="AJ2537" s="2">
        <f>AI2537*T2537</f>
        <v>0</v>
      </c>
      <c r="AK2537" s="2">
        <f>T2537-W2537</f>
        <v>0</v>
      </c>
      <c r="AL2537" s="5">
        <f>(T2537-W2537)/T2537</f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M2538" s="2" t="s">
        <v>41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>(T2538-W2538)/T2538</f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>AJ2538</f>
        <v>0</v>
      </c>
      <c r="AJ2538" s="2">
        <f>AI2538*T2538</f>
        <v>0</v>
      </c>
      <c r="AK2538" s="2">
        <f>T2538-W2538</f>
        <v>18.45</v>
      </c>
      <c r="AL2538" s="5">
        <f>(T2538-W2538)/T2538</f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M2539" s="2" t="s">
        <v>41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>(T2539-W2539)/T2539</f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>AJ2539</f>
        <v>0</v>
      </c>
      <c r="AG2539" s="2">
        <v>10.6</v>
      </c>
      <c r="AH2539" s="2">
        <v>18</v>
      </c>
      <c r="AJ2539" s="2">
        <f>AI2539*T2539</f>
        <v>0</v>
      </c>
      <c r="AK2539" s="2">
        <f>T2539-W2539</f>
        <v>34</v>
      </c>
      <c r="AL2539" s="5">
        <f>(T2539-W2539)/T2539</f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M2540" s="2" t="s">
        <v>41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>(T2540-W2540)/T2540</f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>AJ2540</f>
        <v>0</v>
      </c>
      <c r="AG2540" s="2">
        <v>9.14</v>
      </c>
      <c r="AH2540" s="2">
        <v>16</v>
      </c>
      <c r="AJ2540" s="2">
        <f>AI2540*T2540</f>
        <v>0</v>
      </c>
      <c r="AK2540" s="2">
        <f>T2540-W2540</f>
        <v>11.580000000000002</v>
      </c>
      <c r="AL2540" s="5">
        <f>(T2540-W2540)/T2540</f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M2541" s="2" t="s">
        <v>41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>(T2541-W2541)/T2541</f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>AJ2541</f>
        <v>0</v>
      </c>
      <c r="AG2541" s="2">
        <v>8.1999999999999993</v>
      </c>
      <c r="AH2541" s="2">
        <v>13</v>
      </c>
      <c r="AJ2541" s="2">
        <f>AI2541*T2541</f>
        <v>0</v>
      </c>
      <c r="AK2541" s="2">
        <f>T2541-W2541</f>
        <v>14.399999999999999</v>
      </c>
      <c r="AL2541" s="5">
        <f>(T2541-W2541)/T2541</f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>(T2542-W2542)/T2542</f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>AJ2542</f>
        <v>0</v>
      </c>
      <c r="AJ2542" s="2">
        <f>AI2542*T2542</f>
        <v>0</v>
      </c>
      <c r="AK2542" s="2">
        <f>T2542-W2542</f>
        <v>370.85</v>
      </c>
      <c r="AL2542" s="5">
        <f>(T2542-W2542)/T2542</f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>(T2543-W2543)/T2543</f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>AJ2543</f>
        <v>0</v>
      </c>
      <c r="AJ2543" s="2">
        <f>AI2543*T2543</f>
        <v>0</v>
      </c>
      <c r="AK2543" s="2">
        <f>T2543-W2543</f>
        <v>80.400000000000006</v>
      </c>
      <c r="AL2543" s="5">
        <f>(T2543-W2543)/T2543</f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>(T2544-W2544)/T2544</f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>AJ2544</f>
        <v>0</v>
      </c>
      <c r="AJ2544" s="2">
        <f>AI2544*T2544</f>
        <v>0</v>
      </c>
      <c r="AK2544" s="2">
        <f>T2544-W2544</f>
        <v>50</v>
      </c>
      <c r="AL2544" s="5">
        <f>(T2544-W2544)/T2544</f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>(T2545-W2545)/T2545</f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>AJ2545</f>
        <v>0</v>
      </c>
      <c r="AJ2545" s="2">
        <f>AI2545*T2545</f>
        <v>0</v>
      </c>
      <c r="AK2545" s="2">
        <f>T2545-W2545</f>
        <v>1165.2</v>
      </c>
      <c r="AL2545" s="5">
        <f>(T2545-W2545)/T2545</f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>(T2546-W2546)/T2546</f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>AJ2546</f>
        <v>0</v>
      </c>
      <c r="AJ2546" s="2">
        <f>AI2546*T2546</f>
        <v>0</v>
      </c>
      <c r="AK2546" s="2">
        <f>T2546-W2546</f>
        <v>30</v>
      </c>
      <c r="AL2546" s="5">
        <f>(T2546-W2546)/T2546</f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>(T2547-W2547)/T2547</f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>AJ2547</f>
        <v>0</v>
      </c>
      <c r="AJ2547" s="2">
        <f>AI2547*T2547</f>
        <v>0</v>
      </c>
      <c r="AK2547" s="2">
        <f>T2547-W2547</f>
        <v>50</v>
      </c>
      <c r="AL2547" s="5">
        <f>(T2547-W2547)/T2547</f>
        <v>0.5</v>
      </c>
    </row>
    <row r="2548" spans="1:38" x14ac:dyDescent="0.2">
      <c r="A2548" s="2">
        <v>2025</v>
      </c>
      <c r="B2548" s="2">
        <v>12</v>
      </c>
      <c r="C2548" s="2" t="s">
        <v>3447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>(T2548-W2548)/T2548</f>
        <v>1</v>
      </c>
      <c r="Z2548" s="2" t="s">
        <v>120</v>
      </c>
      <c r="AA2548" s="2" t="s">
        <v>3471</v>
      </c>
      <c r="AB2548" s="2" t="s">
        <v>3472</v>
      </c>
      <c r="AC2548" s="2" t="s">
        <v>699</v>
      </c>
      <c r="AF2548" s="2">
        <f>AJ2548</f>
        <v>0</v>
      </c>
      <c r="AJ2548" s="2">
        <f>AI2548*T2548</f>
        <v>0</v>
      </c>
      <c r="AK2548" s="2">
        <f>T2548-W2548</f>
        <v>166.25</v>
      </c>
      <c r="AL2548" s="5">
        <f>(T2548-W2548)/T2548</f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>(T2549-W2549)/T2549</f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>AJ2549</f>
        <v>0</v>
      </c>
      <c r="AJ2549" s="2">
        <f>AI2549*T2549</f>
        <v>0</v>
      </c>
      <c r="AK2549" s="2">
        <f>T2549-W2549</f>
        <v>27.650000000000006</v>
      </c>
      <c r="AL2549" s="5">
        <f>(T2549-W2549)/T2549</f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>AJ2550</f>
        <v>0</v>
      </c>
      <c r="AJ2550" s="2">
        <f>AI2550*T2550</f>
        <v>0</v>
      </c>
      <c r="AK2550" s="2">
        <f>T2550-W2550</f>
        <v>0</v>
      </c>
      <c r="AL2550" s="5" t="e">
        <f>(T2550-W2550)/T2550</f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>(T2551-W2551)/T2551</f>
        <v>1</v>
      </c>
      <c r="Z2551" s="2" t="s">
        <v>105</v>
      </c>
      <c r="AF2551" s="2">
        <f>AJ2551</f>
        <v>0</v>
      </c>
      <c r="AJ2551" s="2">
        <f>AI2551*T2551</f>
        <v>0</v>
      </c>
      <c r="AK2551" s="2">
        <f>T2551-W2551</f>
        <v>14990</v>
      </c>
      <c r="AL2551" s="5">
        <f>(T2551-W2551)/T2551</f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>(T2552-W2552)/T2552</f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>AJ2552</f>
        <v>0</v>
      </c>
      <c r="AJ2552" s="2">
        <f>AI2552*T2552</f>
        <v>0</v>
      </c>
      <c r="AK2552" s="2">
        <f>T2552-W2552</f>
        <v>1447.2773</v>
      </c>
      <c r="AL2552" s="5">
        <f>(T2552-W2552)/T2552</f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>(T2553-W2553)/T2553</f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>AJ2553</f>
        <v>0</v>
      </c>
      <c r="AG2553" s="2">
        <v>0.85609999999999997</v>
      </c>
      <c r="AH2553" s="2">
        <v>1.8</v>
      </c>
      <c r="AJ2553" s="2">
        <f>AI2553*T2553</f>
        <v>0</v>
      </c>
      <c r="AK2553" s="2">
        <f>T2553-W2553</f>
        <v>18.878</v>
      </c>
      <c r="AL2553" s="5">
        <f>(T2553-W2553)/T2553</f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>(T2554-W2554)/T2554</f>
        <v>1</v>
      </c>
      <c r="Z2554" s="2" t="s">
        <v>170</v>
      </c>
      <c r="AA2554" s="2" t="s">
        <v>170</v>
      </c>
      <c r="AF2554" s="2">
        <f>AJ2554</f>
        <v>0</v>
      </c>
      <c r="AJ2554" s="2">
        <f>AI2554*T2554</f>
        <v>0</v>
      </c>
      <c r="AK2554" s="2">
        <f>T2554-W2554</f>
        <v>8</v>
      </c>
      <c r="AL2554" s="5">
        <f>(T2554-W2554)/T2554</f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>(T2555-W2555)/T2555</f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>AJ2555</f>
        <v>0</v>
      </c>
      <c r="AG2555" s="2">
        <v>7.2733999999999996</v>
      </c>
      <c r="AJ2555" s="2">
        <f>AI2555*T2555</f>
        <v>0</v>
      </c>
      <c r="AK2555" s="2">
        <f>T2555-W2555</f>
        <v>8.6066000000000003</v>
      </c>
      <c r="AL2555" s="5">
        <f>(T2555-W2555)/T2555</f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>(T2556-W2556)/T2556</f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>AJ2556</f>
        <v>0</v>
      </c>
      <c r="AG2556" s="2">
        <v>10.6</v>
      </c>
      <c r="AH2556" s="2">
        <v>18</v>
      </c>
      <c r="AJ2556" s="2">
        <f>AI2556*T2556</f>
        <v>0</v>
      </c>
      <c r="AK2556" s="2">
        <f>T2556-W2556</f>
        <v>14.8</v>
      </c>
      <c r="AL2556" s="5">
        <f>(T2556-W2556)/T2556</f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>(T2557-W2557)/T2557</f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>AJ2557</f>
        <v>0</v>
      </c>
      <c r="AG2557" s="2">
        <v>25.79</v>
      </c>
      <c r="AJ2557" s="2">
        <f>AI2557*T2557</f>
        <v>0</v>
      </c>
      <c r="AK2557" s="2">
        <f>T2557-W2557</f>
        <v>34.904200000000003</v>
      </c>
      <c r="AL2557" s="5">
        <f>(T2557-W2557)/T2557</f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>(T2558-W2558)/T2558</f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>AJ2558</f>
        <v>0</v>
      </c>
      <c r="AG2558" s="2">
        <v>9.14</v>
      </c>
      <c r="AH2558" s="2">
        <v>16</v>
      </c>
      <c r="AJ2558" s="2">
        <f>AI2558*T2558</f>
        <v>0</v>
      </c>
      <c r="AK2558" s="2">
        <f>T2558-W2558</f>
        <v>4.8600000000000012</v>
      </c>
      <c r="AL2558" s="5">
        <f>(T2558-W2558)/T2558</f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>(T2559-W2559)/T2559</f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>AJ2559</f>
        <v>0</v>
      </c>
      <c r="AG2559" s="2">
        <v>8.1999999999999993</v>
      </c>
      <c r="AH2559" s="2">
        <v>13</v>
      </c>
      <c r="AJ2559" s="2">
        <f>AI2559*T2559</f>
        <v>0</v>
      </c>
      <c r="AK2559" s="2">
        <f>T2559-W2559</f>
        <v>9.5999999999999979</v>
      </c>
      <c r="AL2559" s="5">
        <f>(T2559-W2559)/T2559</f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>(T2560-W2560)/T2560</f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>AJ2560</f>
        <v>0</v>
      </c>
      <c r="AJ2560" s="2">
        <f>AI2560*T2560</f>
        <v>0</v>
      </c>
      <c r="AK2560" s="2">
        <f>T2560-W2560</f>
        <v>4.8600000000000012</v>
      </c>
      <c r="AL2560" s="5">
        <f>(T2560-W2560)/T2560</f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>(T2561-W2561)/T2561</f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>AJ2561</f>
        <v>0</v>
      </c>
      <c r="AG2561" s="2">
        <v>1.8320000000000001</v>
      </c>
      <c r="AH2561" s="2">
        <v>2.4</v>
      </c>
      <c r="AJ2561" s="2">
        <f>AI2561*T2561</f>
        <v>0</v>
      </c>
      <c r="AK2561" s="2">
        <f>T2561-W2561</f>
        <v>3.871999999999999</v>
      </c>
      <c r="AL2561" s="5">
        <f>(T2561-W2561)/T2561</f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>(T2562-W2562)/T2562</f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>AJ2562</f>
        <v>0</v>
      </c>
      <c r="AJ2562" s="2">
        <f>AI2562*T2562</f>
        <v>0</v>
      </c>
      <c r="AK2562" s="2">
        <f>T2562-W2562</f>
        <v>254.19659999999999</v>
      </c>
      <c r="AL2562" s="5">
        <f>(T2562-W2562)/T2562</f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>(T2563-W2563)/T2563</f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>AJ2563</f>
        <v>0</v>
      </c>
      <c r="AJ2563" s="2">
        <f>AI2563*T2563</f>
        <v>0</v>
      </c>
      <c r="AK2563" s="2">
        <f>T2563-W2563</f>
        <v>156.6</v>
      </c>
      <c r="AL2563" s="5">
        <f>(T2563-W2563)/T2563</f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>(T2564-W2564)/T2564</f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>AJ2564</f>
        <v>0</v>
      </c>
      <c r="AJ2564" s="2">
        <f>AI2564*T2564</f>
        <v>0</v>
      </c>
      <c r="AK2564" s="2">
        <f>T2564-W2564</f>
        <v>75</v>
      </c>
      <c r="AL2564" s="5">
        <f>(T2564-W2564)/T2564</f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>(T2565-W2565)/T2565</f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>AJ2565</f>
        <v>0</v>
      </c>
      <c r="AJ2565" s="2">
        <f>AI2565*T2565</f>
        <v>0</v>
      </c>
      <c r="AK2565" s="2">
        <f>T2565-W2565</f>
        <v>106.66</v>
      </c>
      <c r="AL2565" s="5">
        <f>(T2565-W2565)/T2565</f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>(T2566-W2566)/T2566</f>
        <v>0.25</v>
      </c>
      <c r="Z2566" s="2" t="s">
        <v>170</v>
      </c>
      <c r="AA2566" s="2" t="s">
        <v>170</v>
      </c>
      <c r="AF2566" s="2">
        <f>AJ2566</f>
        <v>0</v>
      </c>
      <c r="AJ2566" s="2">
        <f>AI2566*T2566</f>
        <v>0</v>
      </c>
      <c r="AK2566" s="2">
        <f>T2566-W2566</f>
        <v>10</v>
      </c>
      <c r="AL2566" s="5">
        <f>(T2566-W2566)/T2566</f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>(T2567-W2567)/T2567</f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>AJ2567</f>
        <v>0</v>
      </c>
      <c r="AJ2567" s="2">
        <f>AI2567*T2567</f>
        <v>0</v>
      </c>
      <c r="AK2567" s="2">
        <f>T2567-W2567</f>
        <v>0</v>
      </c>
      <c r="AL2567" s="5">
        <f>(T2567-W2567)/T2567</f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>(T2568-W2568)/T2568</f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>AJ2568</f>
        <v>0</v>
      </c>
      <c r="AG2568" s="2">
        <v>10.6</v>
      </c>
      <c r="AH2568" s="2">
        <v>18</v>
      </c>
      <c r="AJ2568" s="2">
        <f>AI2568*T2568</f>
        <v>0</v>
      </c>
      <c r="AK2568" s="2">
        <f>T2568-W2568</f>
        <v>34</v>
      </c>
      <c r="AL2568" s="5">
        <f>(T2568-W2568)/T2568</f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>(T2569-W2569)/T2569</f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>AJ2569</f>
        <v>0</v>
      </c>
      <c r="AG2569" s="2">
        <v>9.14</v>
      </c>
      <c r="AH2569" s="2">
        <v>16</v>
      </c>
      <c r="AJ2569" s="2">
        <f>AI2569*T2569</f>
        <v>0</v>
      </c>
      <c r="AK2569" s="2">
        <f>T2569-W2569</f>
        <v>19.300000000000004</v>
      </c>
      <c r="AL2569" s="5">
        <f>(T2569-W2569)/T2569</f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>(T2570-W2570)/T2570</f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>AJ2570</f>
        <v>0</v>
      </c>
      <c r="AG2570" s="2">
        <v>8.1999999999999993</v>
      </c>
      <c r="AH2570" s="2">
        <v>13</v>
      </c>
      <c r="AJ2570" s="2">
        <f>AI2570*T2570</f>
        <v>0</v>
      </c>
      <c r="AK2570" s="2">
        <f>T2570-W2570</f>
        <v>46</v>
      </c>
      <c r="AL2570" s="5">
        <f>(T2570-W2570)/T2570</f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>(T2571-W2571)/T2571</f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>AJ2571</f>
        <v>0</v>
      </c>
      <c r="AG2571" s="2">
        <v>7.9611999999999998</v>
      </c>
      <c r="AH2571" s="2">
        <v>14.4</v>
      </c>
      <c r="AJ2571" s="2">
        <f>AI2571*T2571</f>
        <v>0</v>
      </c>
      <c r="AK2571" s="2">
        <f>T2571-W2571</f>
        <v>14.0388</v>
      </c>
      <c r="AL2571" s="5">
        <f>(T2571-W2571)/T2571</f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>(T2572-W2572)/T2572</f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>AJ2572</f>
        <v>0</v>
      </c>
      <c r="AG2572" s="2">
        <v>15.020300000000001</v>
      </c>
      <c r="AH2572" s="2">
        <v>27.6</v>
      </c>
      <c r="AJ2572" s="2">
        <f>AI2572*T2572</f>
        <v>0</v>
      </c>
      <c r="AK2572" s="2">
        <f>T2572-W2572</f>
        <v>6.9796999999999993</v>
      </c>
      <c r="AL2572" s="5">
        <f>(T2572-W2572)/T2572</f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>(T2573-W2573)/T2573</f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>AJ2573</f>
        <v>0</v>
      </c>
      <c r="AG2573" s="2">
        <v>101.30500000000001</v>
      </c>
      <c r="AH2573" s="2">
        <v>190</v>
      </c>
      <c r="AJ2573" s="2">
        <f>AI2573*T2573</f>
        <v>0</v>
      </c>
      <c r="AK2573" s="2">
        <f>T2573-W2573</f>
        <v>99.13000000000001</v>
      </c>
      <c r="AL2573" s="5">
        <f>(T2573-W2573)/T2573</f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>(T2574-W2574)/T2574</f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>AJ2574</f>
        <v>0</v>
      </c>
      <c r="AJ2574" s="2">
        <f>AI2574*T2574</f>
        <v>0</v>
      </c>
      <c r="AK2574" s="2">
        <f>T2574-W2574</f>
        <v>82.580000000000013</v>
      </c>
      <c r="AL2574" s="5">
        <f>(T2574-W2574)/T2574</f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>(T2575-W2575)/T2575</f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>AJ2575</f>
        <v>0</v>
      </c>
      <c r="AJ2575" s="2">
        <f>AI2575*T2575</f>
        <v>0</v>
      </c>
      <c r="AK2575" s="2">
        <f>T2575-W2575</f>
        <v>0</v>
      </c>
      <c r="AL2575" s="5">
        <f>(T2575-W2575)/T2575</f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>(T2576-W2576)/T2576</f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>AJ2576</f>
        <v>0</v>
      </c>
      <c r="AG2576" s="2">
        <v>7.915</v>
      </c>
      <c r="AJ2576" s="2">
        <f>AI2576*T2576</f>
        <v>0</v>
      </c>
      <c r="AK2576" s="2">
        <f>T2576-W2576</f>
        <v>5.8850000000000007</v>
      </c>
      <c r="AL2576" s="5">
        <f>(T2576-W2576)/T2576</f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>(T2577-W2577)/T2577</f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>AJ2577</f>
        <v>0</v>
      </c>
      <c r="AG2577" s="2">
        <v>10.035</v>
      </c>
      <c r="AJ2577" s="2">
        <f>AI2577*T2577</f>
        <v>0</v>
      </c>
      <c r="AK2577" s="2">
        <f>T2577-W2577</f>
        <v>7.3649999999999984</v>
      </c>
      <c r="AL2577" s="5">
        <f>(T2577-W2577)/T2577</f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>(T2578-W2578)/T2578</f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>AJ2578</f>
        <v>0</v>
      </c>
      <c r="AG2578" s="2">
        <v>12.4434</v>
      </c>
      <c r="AJ2578" s="2">
        <f>AI2578*T2578</f>
        <v>0</v>
      </c>
      <c r="AK2578" s="2">
        <f>T2578-W2578</f>
        <v>8.5565999999999995</v>
      </c>
      <c r="AL2578" s="5">
        <f>(T2578-W2578)/T2578</f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>(T2579-W2579)/T2579</f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>AJ2579</f>
        <v>0</v>
      </c>
      <c r="AG2579" s="2">
        <v>11.087999999999999</v>
      </c>
      <c r="AJ2579" s="2">
        <f>AI2579*T2579</f>
        <v>0</v>
      </c>
      <c r="AK2579" s="2">
        <f>T2579-W2579</f>
        <v>8.7120000000000015</v>
      </c>
      <c r="AL2579" s="5">
        <f>(T2579-W2579)/T2579</f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>(T2580-W2580)/T2580</f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>AJ2580</f>
        <v>0</v>
      </c>
      <c r="AJ2580" s="2">
        <f>AI2580*T2580</f>
        <v>0</v>
      </c>
      <c r="AK2580" s="2">
        <f>T2580-W2580</f>
        <v>875</v>
      </c>
      <c r="AL2580" s="5">
        <f>(T2580-W2580)/T2580</f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>(T2581-W2581)/T2581</f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>AJ2581</f>
        <v>0</v>
      </c>
      <c r="AG2581" s="2">
        <v>8.1999999999999993</v>
      </c>
      <c r="AH2581" s="2">
        <v>13</v>
      </c>
      <c r="AJ2581" s="2">
        <f>AI2581*T2581</f>
        <v>0</v>
      </c>
      <c r="AK2581" s="2">
        <f>T2581-W2581</f>
        <v>23</v>
      </c>
      <c r="AL2581" s="5">
        <f>(T2581-W2581)/T2581</f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>(T2582-W2582)/T2582</f>
        <v>1</v>
      </c>
      <c r="Z2582" s="2" t="s">
        <v>170</v>
      </c>
      <c r="AA2582" s="2" t="s">
        <v>170</v>
      </c>
      <c r="AF2582" s="2">
        <f>AJ2582</f>
        <v>0</v>
      </c>
      <c r="AJ2582" s="2">
        <f>AI2582*T2582</f>
        <v>0</v>
      </c>
      <c r="AK2582" s="2">
        <f>T2582-W2582</f>
        <v>8</v>
      </c>
      <c r="AL2582" s="5">
        <f>(T2582-W2582)/T2582</f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>(T2583-W2583)/T2583</f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>AJ2583</f>
        <v>0</v>
      </c>
      <c r="AJ2583" s="2">
        <f>AI2583*T2583</f>
        <v>0</v>
      </c>
      <c r="AK2583" s="2">
        <f>T2583-W2583</f>
        <v>22.5</v>
      </c>
      <c r="AL2583" s="5">
        <f>(T2583-W2583)/T2583</f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>(T2584-W2584)/T2584</f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>AJ2584</f>
        <v>0</v>
      </c>
      <c r="AJ2584" s="2">
        <f>AI2584*T2584</f>
        <v>0</v>
      </c>
      <c r="AK2584" s="2">
        <f>T2584-W2584</f>
        <v>45</v>
      </c>
      <c r="AL2584" s="5">
        <f>(T2584-W2584)/T2584</f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>(T2585-W2585)/T2585</f>
        <v>1</v>
      </c>
      <c r="Z2585" s="2" t="s">
        <v>120</v>
      </c>
      <c r="AA2585" s="2" t="s">
        <v>3384</v>
      </c>
      <c r="AF2585" s="2">
        <f>AJ2585</f>
        <v>0</v>
      </c>
      <c r="AJ2585" s="2">
        <f>AI2585*T2585</f>
        <v>0</v>
      </c>
      <c r="AK2585" s="2">
        <f>T2585-W2585</f>
        <v>255</v>
      </c>
      <c r="AL2585" s="5">
        <f>(T2585-W2585)/T2585</f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>(T2586-W2586)/T2586</f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>AJ2586</f>
        <v>0</v>
      </c>
      <c r="AG2586" s="2">
        <f>144.14+15.4</f>
        <v>159.54</v>
      </c>
      <c r="AH2586" s="2">
        <v>280</v>
      </c>
      <c r="AJ2586" s="2">
        <f>AI2586*T2586</f>
        <v>0</v>
      </c>
      <c r="AK2586" s="2">
        <f>T2586-W2586</f>
        <v>110.46000000000001</v>
      </c>
      <c r="AL2586" s="5">
        <f>(T2586-W2586)/T2586</f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>(T2587-W2587)/T2587</f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>AJ2587</f>
        <v>0</v>
      </c>
      <c r="AJ2587" s="2">
        <f>AI2587*T2587</f>
        <v>0</v>
      </c>
      <c r="AK2587" s="2">
        <f>T2587-W2587</f>
        <v>0</v>
      </c>
      <c r="AL2587" s="5">
        <f>(T2587-W2587)/T2587</f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>(T2588-W2588)/T2588</f>
        <v>1</v>
      </c>
      <c r="Z2588" s="2" t="s">
        <v>118</v>
      </c>
      <c r="AF2588" s="2">
        <f>AJ2588</f>
        <v>0</v>
      </c>
      <c r="AJ2588" s="2">
        <f>AI2588*T2588</f>
        <v>0</v>
      </c>
      <c r="AK2588" s="2">
        <f>T2588-W2588</f>
        <v>28.57</v>
      </c>
      <c r="AL2588" s="5">
        <f>(T2588-W2588)/T2588</f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>AJ2589</f>
        <v>0</v>
      </c>
      <c r="AJ2589" s="2">
        <f>AI2589*T2589</f>
        <v>0</v>
      </c>
      <c r="AK2589" s="2">
        <f>T2589-W2589</f>
        <v>36</v>
      </c>
      <c r="AL2589" s="5">
        <f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>(T2590-W2590)/T2590</f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>AJ2590</f>
        <v>0</v>
      </c>
      <c r="AJ2590" s="2">
        <f>AI2590*T2590</f>
        <v>0</v>
      </c>
      <c r="AK2590" s="2">
        <f>T2590-W2590</f>
        <v>25</v>
      </c>
      <c r="AL2590" s="5">
        <f>(T2590-W2590)/T2590</f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>(T2591-W2591)/T2591</f>
        <v>1</v>
      </c>
      <c r="Z2591" s="2" t="s">
        <v>120</v>
      </c>
      <c r="AA2591" s="2" t="s">
        <v>3384</v>
      </c>
      <c r="AF2591" s="2">
        <f>AJ2591</f>
        <v>0</v>
      </c>
      <c r="AJ2591" s="2">
        <f>AI2591*T2591</f>
        <v>0</v>
      </c>
      <c r="AK2591" s="2">
        <f>T2591-W2591</f>
        <v>99.75</v>
      </c>
      <c r="AL2591" s="5">
        <f>(T2591-W2591)/T2591</f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>(T2592-W2592)/T2592</f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>AJ2592</f>
        <v>0</v>
      </c>
      <c r="AJ2592" s="2">
        <f>AI2592*T2592</f>
        <v>0</v>
      </c>
      <c r="AK2592" s="2">
        <f>T2592-W2592</f>
        <v>36</v>
      </c>
      <c r="AL2592" s="5">
        <f>(T2592-W2592)/T2592</f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>(T2593-W2593)/T2593</f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>AJ2593</f>
        <v>0</v>
      </c>
      <c r="AJ2593" s="2">
        <f>AI2593*T2593</f>
        <v>0</v>
      </c>
      <c r="AK2593" s="2">
        <f>T2593-W2593</f>
        <v>37.5</v>
      </c>
      <c r="AL2593" s="5">
        <f>(T2593-W2593)/T2593</f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>(T2594-W2594)/T2594</f>
        <v>1</v>
      </c>
      <c r="Z2594" s="2" t="s">
        <v>120</v>
      </c>
      <c r="AA2594" s="2" t="s">
        <v>3384</v>
      </c>
      <c r="AF2594" s="2">
        <f>AJ2594</f>
        <v>0</v>
      </c>
      <c r="AJ2594" s="2">
        <f>AI2594*T2594</f>
        <v>0</v>
      </c>
      <c r="AK2594" s="2">
        <f>T2594-W2594</f>
        <v>66.97</v>
      </c>
      <c r="AL2594" s="5">
        <f>(T2594-W2594)/T2594</f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>(T2595-W2595)/T2595</f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>AJ2595</f>
        <v>0</v>
      </c>
      <c r="AG2595" s="2">
        <v>110.68</v>
      </c>
      <c r="AH2595" s="2">
        <v>210</v>
      </c>
      <c r="AJ2595" s="2">
        <f>AI2595*T2595</f>
        <v>0</v>
      </c>
      <c r="AK2595" s="2">
        <f>T2595-W2595</f>
        <v>99.32</v>
      </c>
      <c r="AL2595" s="5">
        <f>(T2595-W2595)/T2595</f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>(T2596-W2596)/T2596</f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>AJ2596</f>
        <v>0</v>
      </c>
      <c r="AJ2596" s="2">
        <f>AI2596*T2596</f>
        <v>0</v>
      </c>
      <c r="AK2596" s="2">
        <f>T2596-W2596</f>
        <v>0</v>
      </c>
      <c r="AL2596" s="5">
        <f>(T2596-W2596)/T2596</f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>(T2597-W2597)/T2597</f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>AJ2597</f>
        <v>0</v>
      </c>
      <c r="AG2597" s="2">
        <v>78.570099999999996</v>
      </c>
      <c r="AJ2597" s="2">
        <f>AI2597*T2597</f>
        <v>0</v>
      </c>
      <c r="AK2597" s="2">
        <f>T2597-W2597</f>
        <v>52.5899</v>
      </c>
      <c r="AL2597" s="5">
        <f>(T2597-W2597)/T2597</f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>(T2598-W2598)/T2598</f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>AJ2598</f>
        <v>0</v>
      </c>
      <c r="AG2598" s="2">
        <v>0.85609999999999997</v>
      </c>
      <c r="AH2598" s="2">
        <v>1.8</v>
      </c>
      <c r="AJ2598" s="2">
        <f>AI2598*T2598</f>
        <v>0</v>
      </c>
      <c r="AK2598" s="2">
        <f>T2598-W2598</f>
        <v>18.878</v>
      </c>
      <c r="AL2598" s="5">
        <f>(T2598-W2598)/T2598</f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>(T2599-W2599)/T2599</f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>AJ2599</f>
        <v>0</v>
      </c>
      <c r="AG2599" s="2">
        <v>1.1122000000000001</v>
      </c>
      <c r="AH2599" s="2">
        <v>3</v>
      </c>
      <c r="AJ2599" s="2">
        <f>AI2599*T2599</f>
        <v>0</v>
      </c>
      <c r="AK2599" s="2">
        <f>T2599-W2599</f>
        <v>18.878</v>
      </c>
      <c r="AL2599" s="5">
        <f>(T2599-W2599)/T2599</f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>(T2600-W2600)/T2600</f>
        <v>1</v>
      </c>
      <c r="Z2600" s="2" t="s">
        <v>170</v>
      </c>
      <c r="AA2600" s="2" t="s">
        <v>170</v>
      </c>
      <c r="AF2600" s="2">
        <f>AJ2600</f>
        <v>0</v>
      </c>
      <c r="AJ2600" s="2">
        <f>AI2600*T2600</f>
        <v>0</v>
      </c>
      <c r="AK2600" s="2">
        <f>T2600-W2600</f>
        <v>8</v>
      </c>
      <c r="AL2600" s="5">
        <f>(T2600-W2600)/T2600</f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>(T2601-W2601)/T2601</f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>AJ2601</f>
        <v>0</v>
      </c>
      <c r="AJ2601" s="2">
        <f>AI2601*T2601</f>
        <v>0</v>
      </c>
      <c r="AK2601" s="2">
        <f>T2601-W2601</f>
        <v>100.57</v>
      </c>
      <c r="AL2601" s="5">
        <f>(T2601-W2601)/T2601</f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>(T2602-W2602)/T2602</f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>AJ2602</f>
        <v>0</v>
      </c>
      <c r="AJ2602" s="2">
        <f>AI2602*T2602</f>
        <v>0</v>
      </c>
      <c r="AK2602" s="2">
        <f>T2602-W2602</f>
        <v>0</v>
      </c>
      <c r="AL2602" s="5">
        <f>(T2602-W2602)/T2602</f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>(T2603-W2603)/T2603</f>
        <v>1</v>
      </c>
      <c r="Z2603" s="2" t="s">
        <v>120</v>
      </c>
      <c r="AA2603" s="2" t="s">
        <v>3384</v>
      </c>
      <c r="AF2603" s="2">
        <f>AJ2603</f>
        <v>0</v>
      </c>
      <c r="AJ2603" s="2">
        <f>AI2603*T2603</f>
        <v>0</v>
      </c>
      <c r="AK2603" s="2">
        <f>T2603-W2603</f>
        <v>99.75</v>
      </c>
      <c r="AL2603" s="5">
        <f>(T2603-W2603)/T2603</f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>(T2604-W2604)/T2604</f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>AJ2604</f>
        <v>0</v>
      </c>
      <c r="AG2604" s="2">
        <v>6.6266999999999996</v>
      </c>
      <c r="AH2604" s="2">
        <v>12</v>
      </c>
      <c r="AJ2604" s="2">
        <f>AI2604*T2604</f>
        <v>0</v>
      </c>
      <c r="AK2604" s="2">
        <f>T2604-W2604</f>
        <v>12.746600000000001</v>
      </c>
      <c r="AL2604" s="5">
        <f>(T2604-W2604)/T2604</f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>(T2605-W2605)/T2605</f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>AJ2605</f>
        <v>0</v>
      </c>
      <c r="AG2605" s="2">
        <v>10.6</v>
      </c>
      <c r="AH2605" s="2">
        <v>18</v>
      </c>
      <c r="AJ2605" s="2">
        <f>AI2605*T2605</f>
        <v>0</v>
      </c>
      <c r="AK2605" s="2">
        <f>T2605-W2605</f>
        <v>14.8</v>
      </c>
      <c r="AL2605" s="5">
        <f>(T2605-W2605)/T2605</f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>(T2606-W2606)/T2606</f>
        <v>1</v>
      </c>
      <c r="Z2606" s="2" t="s">
        <v>118</v>
      </c>
      <c r="AF2606" s="2">
        <f>AJ2606</f>
        <v>0</v>
      </c>
      <c r="AJ2606" s="2">
        <f>AI2606*T2606</f>
        <v>0</v>
      </c>
      <c r="AK2606" s="2">
        <f>T2606-W2606</f>
        <v>131.44</v>
      </c>
      <c r="AL2606" s="5">
        <f>(T2606-W2606)/T2606</f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>(T2607-W2607)/T2607</f>
        <v>1</v>
      </c>
      <c r="Z2607" s="2" t="s">
        <v>118</v>
      </c>
      <c r="AF2607" s="2">
        <f>AJ2607</f>
        <v>0</v>
      </c>
      <c r="AJ2607" s="2">
        <f>AI2607*T2607</f>
        <v>0</v>
      </c>
      <c r="AK2607" s="2">
        <f>T2607-W2607</f>
        <v>6680</v>
      </c>
      <c r="AL2607" s="5">
        <f>(T2607-W2607)/T2607</f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>(T2608-W2608)/T2608</f>
        <v>#DIV/0!</v>
      </c>
      <c r="Z2608" s="2" t="s">
        <v>118</v>
      </c>
      <c r="AA2608" s="2" t="s">
        <v>1312</v>
      </c>
      <c r="AF2608" s="2">
        <f>AJ2608</f>
        <v>0</v>
      </c>
      <c r="AJ2608" s="2">
        <f>AI2608*T2608</f>
        <v>0</v>
      </c>
      <c r="AK2608" s="2">
        <f>T2608-W2608</f>
        <v>0</v>
      </c>
      <c r="AL2608" s="5" t="e">
        <f>(T2608-W2608)/T2608</f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>(T2609-W2609)/T2609</f>
        <v>1</v>
      </c>
      <c r="Z2609" s="2" t="s">
        <v>120</v>
      </c>
      <c r="AA2609" s="2" t="s">
        <v>3384</v>
      </c>
      <c r="AF2609" s="2">
        <f>AJ2609</f>
        <v>0</v>
      </c>
      <c r="AJ2609" s="2">
        <f>AI2609*T2609</f>
        <v>0</v>
      </c>
      <c r="AK2609" s="2">
        <f>T2609-W2609</f>
        <v>1520</v>
      </c>
      <c r="AL2609" s="5">
        <f>(T2609-W2609)/T2609</f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>(T2610-W2610)/T2610</f>
        <v>1</v>
      </c>
      <c r="AF2610" s="2">
        <f>AJ2610</f>
        <v>0</v>
      </c>
      <c r="AJ2610" s="2">
        <f>AI2610*T2610</f>
        <v>0</v>
      </c>
      <c r="AK2610" s="2">
        <f>T2610-W2610</f>
        <v>39.049999999999997</v>
      </c>
      <c r="AL2610" s="5">
        <f>(T2610-W2610)/T2610</f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>(T2611-W2611)/T2611</f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>AJ2611</f>
        <v>0</v>
      </c>
      <c r="AJ2611" s="2">
        <f>AI2611*T2611</f>
        <v>0</v>
      </c>
      <c r="AK2611" s="2">
        <f>T2611-W2611</f>
        <v>18.917999999999999</v>
      </c>
      <c r="AL2611" s="5">
        <f>(T2611-W2611)/T2611</f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>(T2612-W2612)/T2612</f>
        <v>1</v>
      </c>
      <c r="AF2612" s="2">
        <f>AJ2612</f>
        <v>0</v>
      </c>
      <c r="AJ2612" s="2">
        <f>AI2612*T2612</f>
        <v>0</v>
      </c>
      <c r="AK2612" s="2">
        <f>T2612-W2612</f>
        <v>488.82</v>
      </c>
      <c r="AL2612" s="5">
        <f>(T2612-W2612)/T2612</f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>(T2613-W2613)/T2613</f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>AJ2613</f>
        <v>0</v>
      </c>
      <c r="AG2613" s="2">
        <v>5.2972999999999999</v>
      </c>
      <c r="AH2613" s="2">
        <v>10.8</v>
      </c>
      <c r="AJ2613" s="2">
        <f>AI2613*T2613</f>
        <v>0</v>
      </c>
      <c r="AK2613" s="2">
        <f>T2613-W2613</f>
        <v>8.6053999999999995</v>
      </c>
      <c r="AL2613" s="5">
        <f>(T2613-W2613)/T2613</f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>(T2614-W2614)/T2614</f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>AJ2614</f>
        <v>0</v>
      </c>
      <c r="AJ2614" s="2">
        <f>AI2614*T2614</f>
        <v>0</v>
      </c>
      <c r="AK2614" s="2">
        <f>T2614-W2614</f>
        <v>47.4</v>
      </c>
      <c r="AL2614" s="5">
        <f>(T2614-W2614)/T2614</f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>(T2615-W2615)/T2615</f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>AJ2615</f>
        <v>0</v>
      </c>
      <c r="AJ2615" s="2">
        <f>AI2615*T2615</f>
        <v>0</v>
      </c>
      <c r="AK2615" s="2">
        <f>T2615-W2615</f>
        <v>25</v>
      </c>
      <c r="AL2615" s="5">
        <f>(T2615-W2615)/T2615</f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>(T2616-W2616)/T2616</f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>AJ2616</f>
        <v>0</v>
      </c>
      <c r="AJ2616" s="2">
        <f>AI2616*T2616</f>
        <v>0</v>
      </c>
      <c r="AK2616" s="2">
        <f>T2616-W2616</f>
        <v>98.02</v>
      </c>
      <c r="AL2616" s="5">
        <f>(T2616-W2616)/T2616</f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>(T2617-W2617)/T2617</f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>AJ2617</f>
        <v>0</v>
      </c>
      <c r="AJ2617" s="2">
        <f>AI2617*T2617</f>
        <v>0</v>
      </c>
      <c r="AK2617" s="2">
        <f>T2617-W2617</f>
        <v>0</v>
      </c>
      <c r="AL2617" s="5">
        <f>(T2617-W2617)/T2617</f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>(T2618-W2618)/T2618</f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>AJ2618</f>
        <v>0</v>
      </c>
      <c r="AJ2618" s="2">
        <f>AI2618*T2618</f>
        <v>0</v>
      </c>
      <c r="AK2618" s="2">
        <f>T2618-W2618</f>
        <v>85.024799999999999</v>
      </c>
      <c r="AL2618" s="5">
        <f>(T2618-W2618)/T2618</f>
        <v>0.3664862068965517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>(T2619-W2619)/T2619</f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>AJ2619</f>
        <v>0</v>
      </c>
      <c r="AJ2619" s="2">
        <f>AI2619*T2619</f>
        <v>0</v>
      </c>
      <c r="AK2619" s="2">
        <f>T2619-W2619</f>
        <v>261</v>
      </c>
      <c r="AL2619" s="5">
        <f>(T2619-W2619)/T2619</f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>(T2620-W2620)/T2620</f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>AJ2620</f>
        <v>0</v>
      </c>
      <c r="AG2620" s="2">
        <v>117.453</v>
      </c>
      <c r="AH2620" s="2">
        <v>220</v>
      </c>
      <c r="AJ2620" s="2">
        <f>AI2620*T2620</f>
        <v>0</v>
      </c>
      <c r="AK2620" s="2">
        <f>T2620-W2620</f>
        <v>205.09399999999999</v>
      </c>
      <c r="AL2620" s="5">
        <f>(T2620-W2620)/T2620</f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>(T2621-W2621)/T2621</f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>AJ2621</f>
        <v>0</v>
      </c>
      <c r="AJ2621" s="2">
        <f>AI2621*T2621</f>
        <v>0</v>
      </c>
      <c r="AK2621" s="2">
        <f>T2621-W2621</f>
        <v>0</v>
      </c>
      <c r="AL2621" s="5">
        <f>(T2621-W2621)/T2621</f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>(T2622-W2622)/T2622</f>
        <v>1</v>
      </c>
      <c r="AF2622" s="2">
        <f>AJ2622</f>
        <v>0</v>
      </c>
      <c r="AJ2622" s="2">
        <f>AI2622*T2622</f>
        <v>0</v>
      </c>
      <c r="AK2622" s="2">
        <f>T2622-W2622</f>
        <v>430</v>
      </c>
      <c r="AL2622" s="5">
        <f>(T2622-W2622)/T2622</f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>(T2623-W2623)/T2623</f>
        <v>1</v>
      </c>
      <c r="AF2623" s="2">
        <f>AJ2623</f>
        <v>0</v>
      </c>
      <c r="AJ2623" s="2">
        <f>AI2623*T2623</f>
        <v>0</v>
      </c>
      <c r="AK2623" s="2">
        <f>T2623-W2623</f>
        <v>725.58</v>
      </c>
      <c r="AL2623" s="5">
        <f>(T2623-W2623)/T2623</f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>(T2624-W2624)/T2624</f>
        <v>1</v>
      </c>
      <c r="AF2624" s="2">
        <f>AJ2624</f>
        <v>0</v>
      </c>
      <c r="AJ2624" s="2">
        <f>AI2624*T2624</f>
        <v>0</v>
      </c>
      <c r="AK2624" s="2">
        <f>T2624-W2624</f>
        <v>1450</v>
      </c>
      <c r="AL2624" s="5">
        <f>(T2624-W2624)/T2624</f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>(T2625-W2625)/T2625</f>
        <v>0.44138749999999999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>AJ2625</f>
        <v>0</v>
      </c>
      <c r="AJ2625" s="2">
        <f>AI2625*T2625</f>
        <v>0</v>
      </c>
      <c r="AK2625" s="2">
        <f>T2625-W2625</f>
        <v>10.593299999999999</v>
      </c>
      <c r="AL2625" s="5">
        <f>(T2625-W2625)/T2625</f>
        <v>0.44138749999999999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>(T2626-W2626)/T2626</f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>AJ2626</f>
        <v>0</v>
      </c>
      <c r="AG2626" s="2">
        <v>9.14</v>
      </c>
      <c r="AH2626" s="2">
        <v>16</v>
      </c>
      <c r="AJ2626" s="2">
        <f>AI2626*T2626</f>
        <v>0</v>
      </c>
      <c r="AK2626" s="2">
        <f>T2626-W2626</f>
        <v>19.300000000000004</v>
      </c>
      <c r="AL2626" s="5">
        <f>(T2626-W2626)/T2626</f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>(T2627-W2627)/T2627</f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>AJ2627</f>
        <v>0</v>
      </c>
      <c r="AG2627" s="2">
        <v>15.020300000000001</v>
      </c>
      <c r="AH2627" s="2">
        <v>27.6</v>
      </c>
      <c r="AJ2627" s="2">
        <f>AI2627*T2627</f>
        <v>0</v>
      </c>
      <c r="AK2627" s="2">
        <f>T2627-W2627</f>
        <v>27.918799999999997</v>
      </c>
      <c r="AL2627" s="5">
        <f>(T2627-W2627)/T2627</f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>(T2628-W2628)/T2628</f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>AJ2628</f>
        <v>0</v>
      </c>
      <c r="AG2628" s="2">
        <v>8.3145000000000007</v>
      </c>
      <c r="AH2628" s="2">
        <v>15</v>
      </c>
      <c r="AJ2628" s="2">
        <f>AI2628*T2628</f>
        <v>0</v>
      </c>
      <c r="AK2628" s="2">
        <f>T2628-W2628</f>
        <v>9.3709999999999987</v>
      </c>
      <c r="AL2628" s="5">
        <f>(T2628-W2628)/T2628</f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E2629" s="2" t="s">
        <v>38</v>
      </c>
      <c r="F2629" s="2" t="s">
        <v>39</v>
      </c>
      <c r="L2629" s="2" t="s">
        <v>419</v>
      </c>
      <c r="M2629" s="2" t="s">
        <v>41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>(T2629-W2629)/T2629</f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>AJ2629</f>
        <v>0</v>
      </c>
      <c r="AJ2629" s="2">
        <f>AI2629*T2629</f>
        <v>0</v>
      </c>
      <c r="AK2629" s="2">
        <f>T2629-W2629</f>
        <v>45</v>
      </c>
      <c r="AL2629" s="5">
        <f>(T2629-W2629)/T2629</f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E2630" s="2" t="s">
        <v>38</v>
      </c>
      <c r="F2630" s="2" t="s">
        <v>39</v>
      </c>
      <c r="L2630" s="2" t="s">
        <v>419</v>
      </c>
      <c r="M2630" s="2" t="s">
        <v>41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>(T2630-W2630)/T2630</f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>AJ2630</f>
        <v>0</v>
      </c>
      <c r="AG2630" s="2">
        <v>9.14</v>
      </c>
      <c r="AH2630" s="2">
        <v>16</v>
      </c>
      <c r="AJ2630" s="2">
        <f>AI2630*T2630</f>
        <v>0</v>
      </c>
      <c r="AK2630" s="2">
        <f>T2630-W2630</f>
        <v>4.8600000000000012</v>
      </c>
      <c r="AL2630" s="5">
        <f>(T2630-W2630)/T2630</f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E2631" s="2" t="s">
        <v>38</v>
      </c>
      <c r="F2631" s="2" t="s">
        <v>39</v>
      </c>
      <c r="L2631" s="2" t="s">
        <v>419</v>
      </c>
      <c r="M2631" s="2" t="s">
        <v>41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>(T2631-W2631)/T2631</f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>AJ2631</f>
        <v>0</v>
      </c>
      <c r="AG2631" s="2">
        <v>8.1999999999999993</v>
      </c>
      <c r="AH2631" s="2">
        <v>13</v>
      </c>
      <c r="AJ2631" s="2">
        <f>AI2631*T2631</f>
        <v>0</v>
      </c>
      <c r="AK2631" s="2">
        <f>T2631-W2631</f>
        <v>4.7999999999999989</v>
      </c>
      <c r="AL2631" s="5">
        <f>(T2631-W2631)/T2631</f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E2632" s="2" t="s">
        <v>38</v>
      </c>
      <c r="F2632" s="2" t="s">
        <v>39</v>
      </c>
      <c r="L2632" s="2" t="s">
        <v>419</v>
      </c>
      <c r="M2632" s="2" t="s">
        <v>41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>(T2632-W2632)/T2632</f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>AJ2632</f>
        <v>0</v>
      </c>
      <c r="AJ2632" s="2">
        <f>AI2632*T2632</f>
        <v>0</v>
      </c>
      <c r="AK2632" s="2">
        <f>T2632-W2632</f>
        <v>5.8600000000000012</v>
      </c>
      <c r="AL2632" s="5">
        <f>(T2632-W2632)/T2632</f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>(T2633-W2633)/T2633</f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>AJ2633</f>
        <v>0</v>
      </c>
      <c r="AJ2633" s="2">
        <f>AI2633*T2633</f>
        <v>0</v>
      </c>
      <c r="AK2633" s="2">
        <f>T2633-W2633</f>
        <v>100.53999999999999</v>
      </c>
      <c r="AL2633" s="5">
        <f>(T2633-W2633)/T2633</f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>(T2634-W2634)/T2634</f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>AJ2634</f>
        <v>0</v>
      </c>
      <c r="AG2634" s="2">
        <v>1.1399999999999999</v>
      </c>
      <c r="AH2634" s="2">
        <v>1.1399999999999999</v>
      </c>
      <c r="AJ2634" s="2">
        <f>AI2634*T2634</f>
        <v>0</v>
      </c>
      <c r="AK2634" s="2">
        <f>T2634-W2634</f>
        <v>0</v>
      </c>
      <c r="AL2634" s="5">
        <f>(T2634-W2634)/T2634</f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>(T2635-W2635)/T2635</f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>AJ2635</f>
        <v>0</v>
      </c>
      <c r="AG2635" s="2">
        <v>5.35</v>
      </c>
      <c r="AJ2635" s="2">
        <f>AI2635*T2635</f>
        <v>0</v>
      </c>
      <c r="AK2635" s="2">
        <f>T2635-W2635</f>
        <v>5.9</v>
      </c>
      <c r="AL2635" s="5">
        <f>(T2635-W2635)/T2635</f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>(T2636-W2636)/T2636</f>
        <v>1</v>
      </c>
      <c r="AF2636" s="2">
        <f>AJ2636</f>
        <v>0</v>
      </c>
      <c r="AJ2636" s="2">
        <f>AI2636*T2636</f>
        <v>0</v>
      </c>
      <c r="AK2636" s="2">
        <f>T2636-W2636</f>
        <v>145.26</v>
      </c>
      <c r="AL2636" s="5">
        <f>(T2636-W2636)/T2636</f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>(T2637-W2637)/T2637</f>
        <v>1</v>
      </c>
      <c r="AF2637" s="2">
        <f>AJ2637</f>
        <v>0</v>
      </c>
      <c r="AJ2637" s="2">
        <f>AI2637*T2637</f>
        <v>0</v>
      </c>
      <c r="AK2637" s="2">
        <f>T2637-W2637</f>
        <v>9.82</v>
      </c>
      <c r="AL2637" s="5">
        <f>(T2637-W2637)/T2637</f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>(T2638-W2638)/T2638</f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>AJ2638</f>
        <v>0</v>
      </c>
      <c r="AJ2638" s="2">
        <f>AI2638*T2638</f>
        <v>0</v>
      </c>
      <c r="AK2638" s="2">
        <f>T2638-W2638</f>
        <v>30</v>
      </c>
      <c r="AL2638" s="5">
        <f>(T2638-W2638)/T2638</f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>(T2639-W2639)/T2639</f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>AJ2639</f>
        <v>0</v>
      </c>
      <c r="AJ2639" s="2">
        <f>AI2639*T2639</f>
        <v>0</v>
      </c>
      <c r="AK2639" s="2">
        <f>T2639-W2639</f>
        <v>50</v>
      </c>
      <c r="AL2639" s="5">
        <f>(T2639-W2639)/T2639</f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>(T2640-W2640)/T2640</f>
        <v>1</v>
      </c>
      <c r="Z2640" s="2" t="s">
        <v>120</v>
      </c>
      <c r="AA2640" s="2" t="s">
        <v>3384</v>
      </c>
      <c r="AF2640" s="2">
        <f>AJ2640</f>
        <v>0</v>
      </c>
      <c r="AJ2640" s="2">
        <f>AI2640*T2640</f>
        <v>0</v>
      </c>
      <c r="AK2640" s="2">
        <f>T2640-W2640</f>
        <v>278.01</v>
      </c>
      <c r="AL2640" s="5">
        <f>(T2640-W2640)/T2640</f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>(T2641-W2641)/T2641</f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>AJ2641</f>
        <v>0</v>
      </c>
      <c r="AG2641" s="2">
        <f>144.14+15.4</f>
        <v>159.54</v>
      </c>
      <c r="AH2641" s="2">
        <v>280</v>
      </c>
      <c r="AJ2641" s="2">
        <f>AI2641*T2641</f>
        <v>0</v>
      </c>
      <c r="AK2641" s="2">
        <f>T2641-W2641</f>
        <v>110.46000000000001</v>
      </c>
      <c r="AL2641" s="5">
        <f>(T2641-W2641)/T2641</f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>(T2642-W2642)/T2642</f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>AJ2642</f>
        <v>0</v>
      </c>
      <c r="AJ2642" s="2">
        <f>AI2642*T2642</f>
        <v>0</v>
      </c>
      <c r="AK2642" s="2">
        <f>T2642-W2642</f>
        <v>0</v>
      </c>
      <c r="AL2642" s="5">
        <f>(T2642-W2642)/T2642</f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>(T2643-W2643)/T2643</f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>AJ2643</f>
        <v>0</v>
      </c>
      <c r="AG2643" s="2">
        <v>10.6</v>
      </c>
      <c r="AH2643" s="2">
        <v>18</v>
      </c>
      <c r="AJ2643" s="2">
        <f>AI2643*T2643</f>
        <v>0</v>
      </c>
      <c r="AK2643" s="2">
        <f>T2643-W2643</f>
        <v>34</v>
      </c>
      <c r="AL2643" s="5">
        <f>(T2643-W2643)/T2643</f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>(T2644-W2644)/T2644</f>
        <v>1</v>
      </c>
      <c r="AF2644" s="2">
        <f>AJ2644</f>
        <v>0</v>
      </c>
      <c r="AJ2644" s="2">
        <f>AI2644*T2644</f>
        <v>0</v>
      </c>
      <c r="AK2644" s="2">
        <f>T2644-W2644</f>
        <v>900</v>
      </c>
      <c r="AL2644" s="5">
        <f>(T2644-W2644)/T2644</f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>(T2645-W2645)/T2645</f>
        <v>1</v>
      </c>
      <c r="Z2645" s="2" t="s">
        <v>120</v>
      </c>
      <c r="AA2645" s="2" t="s">
        <v>3384</v>
      </c>
      <c r="AF2645" s="2">
        <f>AJ2645</f>
        <v>0</v>
      </c>
      <c r="AJ2645" s="2">
        <f>AI2645*T2645</f>
        <v>0</v>
      </c>
      <c r="AK2645" s="2">
        <f>T2645-W2645</f>
        <v>100.94</v>
      </c>
      <c r="AL2645" s="5">
        <f>(T2645-W2645)/T2645</f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>(T2646-W2646)/T2646</f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>AJ2646</f>
        <v>0</v>
      </c>
      <c r="AJ2646" s="2">
        <f>AI2646*T2646</f>
        <v>0</v>
      </c>
      <c r="AK2646" s="2">
        <f>T2646-W2646</f>
        <v>84.844999999999999</v>
      </c>
      <c r="AL2646" s="5">
        <f>(T2646-W2646)/T2646</f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>(T2647-W2647)/T2647</f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>AJ2647</f>
        <v>0</v>
      </c>
      <c r="AJ2647" s="2">
        <f>AI2647*T2647</f>
        <v>0</v>
      </c>
      <c r="AK2647" s="2">
        <f>T2647-W2647</f>
        <v>0</v>
      </c>
      <c r="AL2647" s="5">
        <f>(T2647-W2647)/T2647</f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>(T2648-W2648)/T2648</f>
        <v>1</v>
      </c>
      <c r="Z2648" s="2" t="s">
        <v>105</v>
      </c>
      <c r="AF2648" s="2">
        <f>AJ2648</f>
        <v>0</v>
      </c>
      <c r="AJ2648" s="2">
        <f>AI2648*T2648</f>
        <v>0</v>
      </c>
      <c r="AK2648" s="2">
        <f>T2648-W2648</f>
        <v>2840</v>
      </c>
      <c r="AL2648" s="5">
        <f>(T2648-W2648)/T2648</f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>(T2649-W2649)/T2649</f>
        <v>1</v>
      </c>
      <c r="Z2649" s="2" t="s">
        <v>118</v>
      </c>
      <c r="AA2649" s="2" t="s">
        <v>318</v>
      </c>
      <c r="AF2649" s="2">
        <f>AJ2649</f>
        <v>0</v>
      </c>
      <c r="AJ2649" s="2">
        <f>AI2649*T2649</f>
        <v>0</v>
      </c>
      <c r="AK2649" s="2">
        <f>T2649-W2649</f>
        <v>975</v>
      </c>
      <c r="AL2649" s="5">
        <f>(T2649-W2649)/T2649</f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>(T2650-W2650)/T2650</f>
        <v>#DIV/0!</v>
      </c>
      <c r="Z2650" s="2" t="s">
        <v>118</v>
      </c>
      <c r="AA2650" s="2" t="s">
        <v>318</v>
      </c>
      <c r="AF2650" s="2">
        <f>AJ2650</f>
        <v>0</v>
      </c>
      <c r="AJ2650" s="2">
        <f>AI2650*T2650</f>
        <v>0</v>
      </c>
      <c r="AK2650" s="2">
        <f>T2650-W2650</f>
        <v>0</v>
      </c>
      <c r="AL2650" s="5" t="e">
        <f>(T2650-W2650)/T2650</f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>AJ2651</f>
        <v>0</v>
      </c>
      <c r="AJ2651" s="2">
        <f>AI2651*T2651</f>
        <v>0</v>
      </c>
      <c r="AK2651" s="2">
        <f>T2651-W2651</f>
        <v>0</v>
      </c>
      <c r="AL2651" s="5" t="e">
        <f>(T2651-W2651)/T2651</f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>(T2652-W2652)/T2652</f>
        <v>1</v>
      </c>
      <c r="Z2652" s="2" t="s">
        <v>105</v>
      </c>
      <c r="AF2652" s="2">
        <f>AJ2652</f>
        <v>0</v>
      </c>
      <c r="AJ2652" s="2">
        <f>AI2652*T2652</f>
        <v>0</v>
      </c>
      <c r="AK2652" s="2">
        <f>T2652-W2652</f>
        <v>15990</v>
      </c>
      <c r="AL2652" s="5">
        <f>(T2652-W2652)/T2652</f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>AJ2653</f>
        <v>0</v>
      </c>
      <c r="AJ2653" s="2">
        <f>AI2653*T2653</f>
        <v>0</v>
      </c>
      <c r="AK2653" s="2">
        <f>T2653-W2653</f>
        <v>-26659.4</v>
      </c>
      <c r="AL2653" s="5">
        <f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3445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>(T2654-W2654)/T2654</f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>AJ2654</f>
        <v>0</v>
      </c>
      <c r="AG2654" s="2">
        <v>1.1122000000000001</v>
      </c>
      <c r="AH2654" s="2">
        <v>3</v>
      </c>
      <c r="AJ2654" s="2">
        <f>AI2654*T2654</f>
        <v>0</v>
      </c>
      <c r="AK2654" s="2">
        <f>T2654-W2654</f>
        <v>15.102399999999999</v>
      </c>
      <c r="AL2654" s="5">
        <f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>(T2655-W2655)/T2655</f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>AJ2655</f>
        <v>0</v>
      </c>
      <c r="AJ2655" s="2">
        <f>AI2655*T2655</f>
        <v>0</v>
      </c>
      <c r="AK2655" s="2">
        <f>T2655-W2655</f>
        <v>116</v>
      </c>
      <c r="AL2655" s="5">
        <f>(T2655-W2655)/T2655</f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>(T2656-W2656)/T2656</f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>AJ2656</f>
        <v>0</v>
      </c>
      <c r="AJ2656" s="2">
        <f>AI2656*T2656</f>
        <v>0</v>
      </c>
      <c r="AK2656" s="2">
        <f>T2656-W2656</f>
        <v>127.60000000000002</v>
      </c>
      <c r="AL2656" s="5">
        <f>(T2656-W2656)/T2656</f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>(T2657-W2657)/T2657</f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>AJ2657</f>
        <v>0</v>
      </c>
      <c r="AG2657" s="2">
        <f>132.55+8.31</f>
        <v>140.86000000000001</v>
      </c>
      <c r="AH2657" s="2">
        <v>250</v>
      </c>
      <c r="AJ2657" s="2">
        <f>AI2657*T2657</f>
        <v>0</v>
      </c>
      <c r="AK2657" s="2">
        <f>T2657-W2657</f>
        <v>129.13999999999999</v>
      </c>
      <c r="AL2657" s="5">
        <f>(T2657-W2657)/T2657</f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>(T2658-W2658)/T2658</f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>AJ2658</f>
        <v>0</v>
      </c>
      <c r="AJ2658" s="2">
        <f>AI2658*T2658</f>
        <v>0</v>
      </c>
      <c r="AK2658" s="2">
        <f>T2658-W2658</f>
        <v>0</v>
      </c>
      <c r="AL2658" s="5">
        <f>(T2658-W2658)/T2658</f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>(T2659-W2659)/T2659</f>
        <v>1</v>
      </c>
      <c r="Z2659" s="2" t="s">
        <v>118</v>
      </c>
      <c r="AA2659" s="2" t="s">
        <v>318</v>
      </c>
      <c r="AF2659" s="2">
        <f>AJ2659</f>
        <v>0</v>
      </c>
      <c r="AJ2659" s="2">
        <f>AI2659*T2659</f>
        <v>0</v>
      </c>
      <c r="AK2659" s="2">
        <f>T2659-W2659</f>
        <v>-975</v>
      </c>
      <c r="AL2659" s="5">
        <f>(T2659-W2659)/T2659</f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>(T2660-W2660)/T2660</f>
        <v>#DIV/0!</v>
      </c>
      <c r="Z2660" s="2" t="s">
        <v>118</v>
      </c>
      <c r="AA2660" s="2" t="s">
        <v>318</v>
      </c>
      <c r="AF2660" s="2">
        <f>AJ2660</f>
        <v>0</v>
      </c>
      <c r="AJ2660" s="2">
        <f>AI2660*T2660</f>
        <v>0</v>
      </c>
      <c r="AK2660" s="2">
        <f>T2660-W2660</f>
        <v>0</v>
      </c>
      <c r="AL2660" s="5" t="e">
        <f>(T2660-W2660)/T2660</f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>(T2661-W2661)/T2661</f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>AJ2661</f>
        <v>0</v>
      </c>
      <c r="AG2661" s="2">
        <v>5.35</v>
      </c>
      <c r="AJ2661" s="2">
        <f>AI2661*T2661</f>
        <v>0</v>
      </c>
      <c r="AK2661" s="2">
        <f>T2661-W2661</f>
        <v>4.2900000000000009</v>
      </c>
      <c r="AL2661" s="5">
        <f>(T2661-W2661)/T2661</f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>(T2662-W2662)/T2662</f>
        <v>1</v>
      </c>
      <c r="Z2662" s="2" t="s">
        <v>170</v>
      </c>
      <c r="AA2662" s="2" t="s">
        <v>170</v>
      </c>
      <c r="AF2662" s="2">
        <f>AJ2662</f>
        <v>0</v>
      </c>
      <c r="AJ2662" s="2">
        <f>AI2662*T2662</f>
        <v>0</v>
      </c>
      <c r="AK2662" s="2">
        <f>T2662-W2662</f>
        <v>8</v>
      </c>
      <c r="AL2662" s="5">
        <f>(T2662-W2662)/T2662</f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>(T2663-W2663)/T2663</f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>AJ2663</f>
        <v>0</v>
      </c>
      <c r="AJ2663" s="2">
        <f>AI2663*T2663</f>
        <v>0</v>
      </c>
      <c r="AK2663" s="2">
        <f>T2663-W2663</f>
        <v>37.17</v>
      </c>
      <c r="AL2663" s="5">
        <f>(T2663-W2663)/T2663</f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>(T2664-W2664)/T2664</f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>AJ2664</f>
        <v>0</v>
      </c>
      <c r="AG2664" s="2">
        <v>3.7357999999999998</v>
      </c>
      <c r="AH2664" s="2">
        <v>9</v>
      </c>
      <c r="AJ2664" s="2">
        <f>AI2664*T2664</f>
        <v>0</v>
      </c>
      <c r="AK2664" s="2">
        <f>T2664-W2664</f>
        <v>16.256799999999998</v>
      </c>
      <c r="AL2664" s="5">
        <f>(T2664-W2664)/T2664</f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>(T2665-W2665)/T2665</f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>AJ2665</f>
        <v>0</v>
      </c>
      <c r="AJ2665" s="2">
        <f>AI2665*T2665</f>
        <v>0</v>
      </c>
      <c r="AK2665" s="2">
        <f>T2665-W2665</f>
        <v>144.2466</v>
      </c>
      <c r="AL2665" s="5">
        <f>(T2665-W2665)/T2665</f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>(T2666-W2666)/T2666</f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>AJ2666</f>
        <v>0</v>
      </c>
      <c r="AJ2666" s="2">
        <f>AI2666*T2666</f>
        <v>0</v>
      </c>
      <c r="AK2666" s="2">
        <f>T2666-W2666</f>
        <v>0</v>
      </c>
      <c r="AL2666" s="5">
        <f>(T2666-W2666)/T2666</f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>(T2667-W2667)/T2667</f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>AJ2667</f>
        <v>0</v>
      </c>
      <c r="AJ2667" s="2">
        <f>AI2667*T2667</f>
        <v>0</v>
      </c>
      <c r="AK2667" s="2">
        <f>T2667-W2667</f>
        <v>-2836.96</v>
      </c>
      <c r="AL2667" s="5">
        <f>(T2667-W2667)/T2667</f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>(T2668-W2668)/T2668</f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>AJ2668</f>
        <v>0</v>
      </c>
      <c r="AJ2668" s="2">
        <f>AI2668*T2668</f>
        <v>0</v>
      </c>
      <c r="AK2668" s="2">
        <f>T2668-W2668</f>
        <v>763.04</v>
      </c>
      <c r="AL2668" s="5">
        <f>(T2668-W2668)/T2668</f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>(T2669-W2669)/T2669</f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>AJ2669</f>
        <v>0</v>
      </c>
      <c r="AG2669" s="2">
        <v>121.46</v>
      </c>
      <c r="AH2669" s="2">
        <v>210</v>
      </c>
      <c r="AJ2669" s="2">
        <f>AI2669*T2669</f>
        <v>0</v>
      </c>
      <c r="AK2669" s="2">
        <f>T2669-W2669</f>
        <v>88.54</v>
      </c>
      <c r="AL2669" s="5">
        <f>(T2669-W2669)/T2669</f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>(T2670-W2670)/T2670</f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>AJ2670</f>
        <v>0</v>
      </c>
      <c r="AJ2670" s="2">
        <f>AI2670*T2670</f>
        <v>0</v>
      </c>
      <c r="AK2670" s="2">
        <f>T2670-W2670</f>
        <v>0</v>
      </c>
      <c r="AL2670" s="5">
        <f>(T2670-W2670)/T2670</f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>(T2671-W2671)/T2671</f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>AJ2671</f>
        <v>0</v>
      </c>
      <c r="AG2671" s="2">
        <v>131.93</v>
      </c>
      <c r="AH2671" s="2">
        <v>220</v>
      </c>
      <c r="AJ2671" s="2">
        <f>AI2671*T2671</f>
        <v>0</v>
      </c>
      <c r="AK2671" s="2">
        <f>T2671-W2671</f>
        <v>88.07</v>
      </c>
      <c r="AL2671" s="5">
        <f>(T2671-W2671)/T2671</f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>(T2672-W2672)/T2672</f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>AJ2672</f>
        <v>0</v>
      </c>
      <c r="AJ2672" s="2">
        <f>AI2672*T2672</f>
        <v>0</v>
      </c>
      <c r="AK2672" s="2">
        <f>T2672-W2672</f>
        <v>0</v>
      </c>
      <c r="AL2672" s="5">
        <f>(T2672-W2672)/T2672</f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>(T2673-W2673)/T2673</f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>AJ2673</f>
        <v>0</v>
      </c>
      <c r="AG2673" s="2">
        <v>117.453</v>
      </c>
      <c r="AH2673" s="2">
        <v>220</v>
      </c>
      <c r="AJ2673" s="2">
        <f>AI2673*T2673</f>
        <v>0</v>
      </c>
      <c r="AK2673" s="2">
        <f>T2673-W2673</f>
        <v>92.546999999999997</v>
      </c>
      <c r="AL2673" s="5">
        <f>(T2673-W2673)/T2673</f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>(T2674-W2674)/T2674</f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>AJ2674</f>
        <v>0</v>
      </c>
      <c r="AJ2674" s="2">
        <f>AI2674*T2674</f>
        <v>0</v>
      </c>
      <c r="AK2674" s="2">
        <f>T2674-W2674</f>
        <v>0</v>
      </c>
      <c r="AL2674" s="5">
        <f>(T2674-W2674)/T2674</f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>(T2675-W2675)/T2675</f>
        <v>1</v>
      </c>
      <c r="Z2675" s="2" t="s">
        <v>118</v>
      </c>
      <c r="AF2675" s="2">
        <f>AJ2675</f>
        <v>0</v>
      </c>
      <c r="AJ2675" s="2">
        <f>AI2675*T2675</f>
        <v>0</v>
      </c>
      <c r="AK2675" s="2">
        <f>T2675-W2675</f>
        <v>257.64999999999998</v>
      </c>
      <c r="AL2675" s="5">
        <f>(T2675-W2675)/T2675</f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>(T2676-W2676)/T2676</f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>AJ2676</f>
        <v>0</v>
      </c>
      <c r="AG2676" s="2">
        <v>2242.31</v>
      </c>
      <c r="AJ2676" s="2">
        <f>AI2676*T2676</f>
        <v>0</v>
      </c>
      <c r="AK2676" s="2">
        <f>T2676-W2676</f>
        <v>407.69000000000005</v>
      </c>
      <c r="AL2676" s="5">
        <f>(T2676-W2676)/T2676</f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>(T2677-W2677)/T2677</f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>AJ2677</f>
        <v>0</v>
      </c>
      <c r="AJ2677" s="2">
        <f>AI2677*T2677</f>
        <v>0</v>
      </c>
      <c r="AK2677" s="2">
        <f>T2677-W2677</f>
        <v>132.75</v>
      </c>
      <c r="AL2677" s="5">
        <f>(T2677-W2677)/T2677</f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>(T2678-W2678)/T2678</f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>AJ2678</f>
        <v>0</v>
      </c>
      <c r="AJ2678" s="2">
        <f>AI2678*T2678</f>
        <v>0</v>
      </c>
      <c r="AK2678" s="2">
        <f>T2678-W2678</f>
        <v>101.25</v>
      </c>
      <c r="AL2678" s="5">
        <f>(T2678-W2678)/T2678</f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>(T2679-W2679)/T2679</f>
        <v>1</v>
      </c>
      <c r="Z2679" s="2" t="s">
        <v>120</v>
      </c>
      <c r="AA2679" s="2" t="s">
        <v>3384</v>
      </c>
      <c r="AF2679" s="2">
        <f>AJ2679</f>
        <v>0</v>
      </c>
      <c r="AJ2679" s="2">
        <f>AI2679*T2679</f>
        <v>0</v>
      </c>
      <c r="AK2679" s="2">
        <f>T2679-W2679</f>
        <v>75</v>
      </c>
      <c r="AL2679" s="5">
        <f>(T2679-W2679)/T2679</f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>(T2680-W2680)/T2680</f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>AJ2680</f>
        <v>0</v>
      </c>
      <c r="AJ2680" s="2">
        <f>AI2680*T2680</f>
        <v>0</v>
      </c>
      <c r="AK2680" s="2">
        <f>T2680-W2680</f>
        <v>25</v>
      </c>
      <c r="AL2680" s="5">
        <f>(T2680-W2680)/T2680</f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>(T2681-W2681)/T2681</f>
        <v>1</v>
      </c>
      <c r="Z2681" s="2" t="s">
        <v>120</v>
      </c>
      <c r="AA2681" s="2" t="s">
        <v>3384</v>
      </c>
      <c r="AF2681" s="2">
        <f>AJ2681</f>
        <v>0</v>
      </c>
      <c r="AJ2681" s="2">
        <f>AI2681*T2681</f>
        <v>0</v>
      </c>
      <c r="AK2681" s="2">
        <f>T2681-W2681</f>
        <v>178.91</v>
      </c>
      <c r="AL2681" s="5">
        <f>(T2681-W2681)/T2681</f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>(T2682-W2682)/T2682</f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>AJ2682</f>
        <v>0</v>
      </c>
      <c r="AJ2682" s="2">
        <f>AI2682*T2682</f>
        <v>0</v>
      </c>
      <c r="AK2682" s="2">
        <f>T2682-W2682</f>
        <v>278</v>
      </c>
      <c r="AL2682" s="5">
        <f>(T2682-W2682)/T2682</f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>(T2683-W2683)/T2683</f>
        <v>1</v>
      </c>
      <c r="AF2683" s="2">
        <f>AJ2683</f>
        <v>0</v>
      </c>
      <c r="AJ2683" s="2">
        <f>AI2683*T2683</f>
        <v>0</v>
      </c>
      <c r="AK2683" s="2">
        <f>T2683-W2683</f>
        <v>65.510000000000005</v>
      </c>
      <c r="AL2683" s="5">
        <f>(T2683-W2683)/T2683</f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>(T2684-W2684)/T2684</f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>AJ2684</f>
        <v>0</v>
      </c>
      <c r="AJ2684" s="2">
        <f>AI2684*T2684</f>
        <v>0</v>
      </c>
      <c r="AK2684" s="2">
        <f>T2684-W2684</f>
        <v>42.599999999999994</v>
      </c>
      <c r="AL2684" s="5">
        <f>(T2684-W2684)/T2684</f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>(T2685-W2685)/T2685</f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>AJ2685</f>
        <v>0</v>
      </c>
      <c r="AJ2685" s="2">
        <f>AI2685*T2685</f>
        <v>0</v>
      </c>
      <c r="AK2685" s="2">
        <f>T2685-W2685</f>
        <v>25</v>
      </c>
      <c r="AL2685" s="5">
        <f>(T2685-W2685)/T2685</f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>(T2686-W2686)/T2686</f>
        <v>1</v>
      </c>
      <c r="Z2686" s="2" t="s">
        <v>120</v>
      </c>
      <c r="AA2686" s="2" t="s">
        <v>3384</v>
      </c>
      <c r="AF2686" s="2">
        <f>AJ2686</f>
        <v>0</v>
      </c>
      <c r="AJ2686" s="2">
        <f>AI2686*T2686</f>
        <v>0</v>
      </c>
      <c r="AK2686" s="2">
        <f>T2686-W2686</f>
        <v>99.75</v>
      </c>
      <c r="AL2686" s="5">
        <f>(T2686-W2686)/T2686</f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>(T2687-W2687)/T2687</f>
        <v>1</v>
      </c>
      <c r="AF2687" s="2">
        <f>AJ2687</f>
        <v>0</v>
      </c>
      <c r="AJ2687" s="2">
        <f>AI2687*T2687</f>
        <v>0</v>
      </c>
      <c r="AK2687" s="2">
        <f>T2687-W2687</f>
        <v>234.11</v>
      </c>
      <c r="AL2687" s="5">
        <f>(T2687-W2687)/T2687</f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>(T2688-W2688)/T2688</f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>AJ2688</f>
        <v>0</v>
      </c>
      <c r="AJ2688" s="2">
        <f>AI2688*T2688</f>
        <v>0</v>
      </c>
      <c r="AK2688" s="2">
        <f>T2688-W2688</f>
        <v>92.800000000000011</v>
      </c>
      <c r="AL2688" s="5">
        <f>(T2688-W2688)/T2688</f>
        <v>0.4</v>
      </c>
    </row>
    <row r="2689" spans="1:38" x14ac:dyDescent="0.2">
      <c r="A2689" s="2">
        <v>2025</v>
      </c>
      <c r="B2689" s="2">
        <v>9</v>
      </c>
      <c r="C2689" s="2" t="s">
        <v>3479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M2689" s="2" t="s">
        <v>41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>(T2689-W2689)/T2689</f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>AJ2689</f>
        <v>0</v>
      </c>
      <c r="AJ2689" s="2">
        <f>AI2689*T2689</f>
        <v>0</v>
      </c>
      <c r="AK2689" s="2">
        <f>T2689-W2689</f>
        <v>28.8</v>
      </c>
      <c r="AL2689" s="5">
        <f>(T2689-W2689)/T2689</f>
        <v>1</v>
      </c>
    </row>
    <row r="2690" spans="1:38" x14ac:dyDescent="0.2">
      <c r="A2690" s="2">
        <v>2025</v>
      </c>
      <c r="B2690" s="2">
        <v>9</v>
      </c>
      <c r="C2690" s="2" t="s">
        <v>3479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M2690" s="2" t="s">
        <v>41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>(T2690-W2690)/T2690</f>
        <v>0.44138749999999999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>AJ2690</f>
        <v>0</v>
      </c>
      <c r="AJ2690" s="2">
        <f>AI2690*T2690</f>
        <v>0</v>
      </c>
      <c r="AK2690" s="2">
        <f>T2690-W2690</f>
        <v>10.593299999999999</v>
      </c>
      <c r="AL2690" s="5">
        <f>(T2690-W2690)/T2690</f>
        <v>0.44138749999999999</v>
      </c>
    </row>
    <row r="2691" spans="1:38" x14ac:dyDescent="0.2">
      <c r="A2691" s="2">
        <v>2025</v>
      </c>
      <c r="B2691" s="2">
        <v>9</v>
      </c>
      <c r="C2691" s="2" t="s">
        <v>3479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M2691" s="2" t="s">
        <v>41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>(T2691-W2691)/T2691</f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>AJ2691</f>
        <v>0</v>
      </c>
      <c r="AJ2691" s="2">
        <f>AI2691*T2691</f>
        <v>0</v>
      </c>
      <c r="AK2691" s="2">
        <f>T2691-W2691</f>
        <v>16.8</v>
      </c>
      <c r="AL2691" s="5">
        <f>(T2691-W2691)/T2691</f>
        <v>1</v>
      </c>
    </row>
    <row r="2692" spans="1:38" x14ac:dyDescent="0.2">
      <c r="A2692" s="2">
        <v>2025</v>
      </c>
      <c r="B2692" s="2">
        <v>9</v>
      </c>
      <c r="C2692" s="2" t="s">
        <v>3479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M2692" s="2" t="s">
        <v>41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>(T2692-W2692)/T2692</f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>AJ2692</f>
        <v>0</v>
      </c>
      <c r="AG2692" s="2">
        <v>8.1999999999999993</v>
      </c>
      <c r="AH2692" s="2">
        <v>13</v>
      </c>
      <c r="AJ2692" s="2">
        <f>AI2692*T2692</f>
        <v>0</v>
      </c>
      <c r="AK2692" s="2">
        <f>T2692-W2692</f>
        <v>28</v>
      </c>
      <c r="AL2692" s="5">
        <f>(T2692-W2692)/T2692</f>
        <v>0.25454545454545452</v>
      </c>
    </row>
    <row r="2693" spans="1:38" x14ac:dyDescent="0.2">
      <c r="A2693" s="2">
        <v>2025</v>
      </c>
      <c r="B2693" s="2">
        <v>9</v>
      </c>
      <c r="C2693" s="2" t="s">
        <v>3479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M2693" s="2" t="s">
        <v>41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>(T2693-W2693)/T2693</f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>AJ2693</f>
        <v>0</v>
      </c>
      <c r="AJ2693" s="2">
        <f>AI2693*T2693</f>
        <v>0</v>
      </c>
      <c r="AK2693" s="2">
        <f>T2693-W2693</f>
        <v>8.41</v>
      </c>
      <c r="AL2693" s="5">
        <f>(T2693-W2693)/T2693</f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>(T2694-W2694)/T2694</f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>AJ2694</f>
        <v>0</v>
      </c>
      <c r="AJ2694" s="2">
        <f>AI2694*T2694</f>
        <v>0</v>
      </c>
      <c r="AK2694" s="2">
        <f>T2694-W2694</f>
        <v>160</v>
      </c>
      <c r="AL2694" s="5">
        <f>(T2694-W2694)/T2694</f>
        <v>1</v>
      </c>
    </row>
    <row r="2695" spans="1:38" x14ac:dyDescent="0.2">
      <c r="A2695" s="2">
        <v>2025</v>
      </c>
      <c r="B2695" s="2">
        <v>9</v>
      </c>
      <c r="C2695" s="2" t="s">
        <v>3445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>(T2695-W2695)/T2695</f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>AJ2695</f>
        <v>0</v>
      </c>
      <c r="AJ2695" s="2">
        <f>AI2695*T2695</f>
        <v>0</v>
      </c>
      <c r="AK2695" s="2">
        <f>T2695-W2695</f>
        <v>4330.6000000000004</v>
      </c>
      <c r="AL2695" s="5">
        <f>(T2695-W2695)/T2695</f>
        <v>0.28870666666666667</v>
      </c>
    </row>
    <row r="2696" spans="1:38" x14ac:dyDescent="0.2">
      <c r="A2696" s="2">
        <v>2025</v>
      </c>
      <c r="B2696" s="2">
        <v>9</v>
      </c>
      <c r="C2696" s="2" t="s">
        <v>3415</v>
      </c>
      <c r="D2696" s="2" t="s">
        <v>3463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>(T2696-W2696)/T2696</f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>AJ2696</f>
        <v>0</v>
      </c>
      <c r="AJ2696" s="2">
        <f>AI2696*T2696</f>
        <v>0</v>
      </c>
      <c r="AK2696" s="2">
        <f>T2696-W2696</f>
        <v>2400</v>
      </c>
      <c r="AL2696" s="5">
        <f>(T2696-W2696)/T2696</f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>(T2697-W2697)/T2697</f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>AJ2697</f>
        <v>0</v>
      </c>
      <c r="AJ2697" s="2">
        <f>AI2697*T2697</f>
        <v>0</v>
      </c>
      <c r="AK2697" s="2">
        <f>T2697-W2697</f>
        <v>57.15</v>
      </c>
      <c r="AL2697" s="5">
        <f>(T2697-W2697)/T2697</f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>(T2698-W2698)/T2698</f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>AJ2698</f>
        <v>0</v>
      </c>
      <c r="AJ2698" s="2">
        <f>AI2698*T2698</f>
        <v>0</v>
      </c>
      <c r="AK2698" s="2">
        <f>T2698-W2698</f>
        <v>100.74</v>
      </c>
      <c r="AL2698" s="5">
        <f>(T2698-W2698)/T2698</f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>(T2699-W2699)/T2699</f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>AJ2699</f>
        <v>0</v>
      </c>
      <c r="AJ2699" s="2">
        <f>AI2699*T2699</f>
        <v>0</v>
      </c>
      <c r="AK2699" s="2">
        <f>T2699-W2699</f>
        <v>0</v>
      </c>
      <c r="AL2699" s="5">
        <f>(T2699-W2699)/T2699</f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>(T2700-W2700)/T2700</f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>AJ2700</f>
        <v>0</v>
      </c>
      <c r="AG2700" s="2">
        <v>150.37</v>
      </c>
      <c r="AJ2700" s="2">
        <f>AI2700*T2700</f>
        <v>0</v>
      </c>
      <c r="AK2700" s="2">
        <f>T2700-W2700</f>
        <v>52.879999999999995</v>
      </c>
      <c r="AL2700" s="5">
        <f>(T2700-W2700)/T2700</f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>(T2701-W2701)/T2701</f>
        <v>0.23333333333333334</v>
      </c>
      <c r="Z2701" s="2" t="s">
        <v>170</v>
      </c>
      <c r="AA2701" s="2" t="s">
        <v>170</v>
      </c>
      <c r="AF2701" s="2">
        <f>AJ2701</f>
        <v>0</v>
      </c>
      <c r="AJ2701" s="2">
        <f>AI2701*T2701</f>
        <v>0</v>
      </c>
      <c r="AK2701" s="2">
        <f>T2701-W2701</f>
        <v>7</v>
      </c>
      <c r="AL2701" s="5">
        <f>(T2701-W2701)/T2701</f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>(T2702-W2702)/T2702</f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>AJ2702</f>
        <v>0</v>
      </c>
      <c r="AG2702" s="2">
        <v>119.33</v>
      </c>
      <c r="AH2702" s="2">
        <v>220</v>
      </c>
      <c r="AJ2702" s="2">
        <f>AI2702*T2702</f>
        <v>0</v>
      </c>
      <c r="AK2702" s="2">
        <f>T2702-W2702</f>
        <v>100.67</v>
      </c>
      <c r="AL2702" s="5">
        <f>(T2702-W2702)/T2702</f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>(T2703-W2703)/T2703</f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>AJ2703</f>
        <v>0</v>
      </c>
      <c r="AJ2703" s="2">
        <f>AI2703*T2703</f>
        <v>0</v>
      </c>
      <c r="AK2703" s="2">
        <f>T2703-W2703</f>
        <v>0</v>
      </c>
      <c r="AL2703" s="5">
        <f>(T2703-W2703)/T2703</f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>(T2704-W2704)/T2704</f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>AJ2704</f>
        <v>0</v>
      </c>
      <c r="AJ2704" s="2">
        <f>AI2704*T2704</f>
        <v>0</v>
      </c>
      <c r="AK2704" s="2">
        <f>T2704-W2704</f>
        <v>443.61</v>
      </c>
      <c r="AL2704" s="5">
        <f>(T2704-W2704)/T2704</f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>(T2705-W2705)/T2705</f>
        <v>1</v>
      </c>
      <c r="Z2705" s="2" t="s">
        <v>120</v>
      </c>
      <c r="AA2705" s="2" t="s">
        <v>493</v>
      </c>
      <c r="AF2705" s="2">
        <f>AJ2705</f>
        <v>0</v>
      </c>
      <c r="AJ2705" s="2">
        <f>AI2705*T2705</f>
        <v>0</v>
      </c>
      <c r="AK2705" s="2">
        <f>T2705-W2705</f>
        <v>664.04</v>
      </c>
      <c r="AL2705" s="5">
        <f>(T2705-W2705)/T2705</f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>(T2706-W2706)/T2706</f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>AJ2706</f>
        <v>0</v>
      </c>
      <c r="AG2706" s="2">
        <v>6.6266999999999996</v>
      </c>
      <c r="AH2706" s="2">
        <v>12</v>
      </c>
      <c r="AJ2706" s="2">
        <f>AI2706*T2706</f>
        <v>0</v>
      </c>
      <c r="AK2706" s="2">
        <f>T2706-W2706</f>
        <v>5.3733000000000004</v>
      </c>
      <c r="AL2706" s="5">
        <f>(T2706-W2706)/T2706</f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>(T2707-W2707)/T2707</f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>AJ2707</f>
        <v>0</v>
      </c>
      <c r="AG2707" s="2">
        <v>3.7357999999999998</v>
      </c>
      <c r="AH2707" s="2">
        <v>9</v>
      </c>
      <c r="AJ2707" s="2">
        <f>AI2707*T2707</f>
        <v>0</v>
      </c>
      <c r="AK2707" s="2">
        <f>T2707-W2707</f>
        <v>4.0641999999999996</v>
      </c>
      <c r="AL2707" s="5">
        <f>(T2707-W2707)/T2707</f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>(T2708-W2708)/T2708</f>
        <v>1</v>
      </c>
      <c r="Z2708" s="2" t="s">
        <v>118</v>
      </c>
      <c r="AF2708" s="2">
        <f>AJ2708</f>
        <v>0</v>
      </c>
      <c r="AJ2708" s="2">
        <f>AI2708*T2708</f>
        <v>0</v>
      </c>
      <c r="AK2708" s="2">
        <f>T2708-W2708</f>
        <v>65.72</v>
      </c>
      <c r="AL2708" s="5">
        <f>(T2708-W2708)/T2708</f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>(T2709-W2709)/T2709</f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>AJ2709</f>
        <v>0</v>
      </c>
      <c r="AJ2709" s="2">
        <f>AI2709*T2709</f>
        <v>0</v>
      </c>
      <c r="AK2709" s="2">
        <f>T2709-W2709</f>
        <v>22.5</v>
      </c>
      <c r="AL2709" s="5">
        <f>(T2709-W2709)/T2709</f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>(T2710-W2710)/T2710</f>
        <v>1</v>
      </c>
      <c r="Z2710" s="2" t="s">
        <v>120</v>
      </c>
      <c r="AA2710" s="2" t="s">
        <v>3384</v>
      </c>
      <c r="AF2710" s="2">
        <f>AJ2710</f>
        <v>0</v>
      </c>
      <c r="AJ2710" s="2">
        <f>AI2710*T2710</f>
        <v>0</v>
      </c>
      <c r="AK2710" s="2">
        <f>T2710-W2710</f>
        <v>418.99</v>
      </c>
      <c r="AL2710" s="5">
        <f>(T2710-W2710)/T2710</f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>(T2711-W2711)/T2711</f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>AJ2711</f>
        <v>0</v>
      </c>
      <c r="AG2711" s="2">
        <v>10.6</v>
      </c>
      <c r="AH2711" s="2">
        <v>18</v>
      </c>
      <c r="AJ2711" s="2">
        <f>AI2711*T2711</f>
        <v>0</v>
      </c>
      <c r="AK2711" s="2">
        <f>T2711-W2711</f>
        <v>22.200000000000003</v>
      </c>
      <c r="AL2711" s="5">
        <f>(T2711-W2711)/T2711</f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>(T2712-W2712)/T2712</f>
        <v>1</v>
      </c>
      <c r="Z2712" s="2" t="s">
        <v>170</v>
      </c>
      <c r="AA2712" s="2" t="s">
        <v>170</v>
      </c>
      <c r="AF2712" s="2">
        <f>AJ2712</f>
        <v>0</v>
      </c>
      <c r="AJ2712" s="2">
        <f>AI2712*T2712</f>
        <v>0</v>
      </c>
      <c r="AK2712" s="2">
        <f>T2712-W2712</f>
        <v>8.5</v>
      </c>
      <c r="AL2712" s="5">
        <f>(T2712-W2712)/T2712</f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>(T2713-W2713)/T2713</f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>AJ2713</f>
        <v>0</v>
      </c>
      <c r="AJ2713" s="2">
        <f>AI2713*T2713</f>
        <v>0</v>
      </c>
      <c r="AK2713" s="2">
        <f>T2713-W2713</f>
        <v>122.71000000000001</v>
      </c>
      <c r="AL2713" s="5">
        <f>(T2713-W2713)/T2713</f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>(T2714-W2714)/T2714</f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>AJ2714</f>
        <v>0</v>
      </c>
      <c r="AJ2714" s="2">
        <f>AI2714*T2714</f>
        <v>0</v>
      </c>
      <c r="AK2714" s="2">
        <f>T2714-W2714</f>
        <v>0</v>
      </c>
      <c r="AL2714" s="5">
        <f>(T2714-W2714)/T2714</f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>(T2715-W2715)/T2715</f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>AJ2715</f>
        <v>0</v>
      </c>
      <c r="AG2715" s="2">
        <v>5.93</v>
      </c>
      <c r="AJ2715" s="2">
        <f>AI2715*T2715</f>
        <v>0</v>
      </c>
      <c r="AK2715" s="2">
        <f>T2715-W2715</f>
        <v>3.0700000000000003</v>
      </c>
      <c r="AL2715" s="5">
        <f>(T2715-W2715)/T2715</f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>(T2716-W2716)/T2716</f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>AJ2716</f>
        <v>0</v>
      </c>
      <c r="AJ2716" s="2">
        <f>AI2716*T2716</f>
        <v>0</v>
      </c>
      <c r="AK2716" s="2">
        <f>T2716-W2716</f>
        <v>9.865000000000002</v>
      </c>
      <c r="AL2716" s="5">
        <f>(T2716-W2716)/T2716</f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>(T2717-W2717)/T2717</f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>AJ2717</f>
        <v>0</v>
      </c>
      <c r="AG2717" s="2">
        <v>6.6266999999999996</v>
      </c>
      <c r="AH2717" s="2">
        <v>12</v>
      </c>
      <c r="AJ2717" s="2">
        <f>AI2717*T2717</f>
        <v>0</v>
      </c>
      <c r="AK2717" s="2">
        <f>T2717-W2717</f>
        <v>10.746600000000001</v>
      </c>
      <c r="AL2717" s="5">
        <f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>(T2718-W2718)/T2718</f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>AJ2718</f>
        <v>0</v>
      </c>
      <c r="AG2718" s="2">
        <v>10.2346</v>
      </c>
      <c r="AH2718" s="2">
        <v>18</v>
      </c>
      <c r="AJ2718" s="2">
        <f>AI2718*T2718</f>
        <v>0</v>
      </c>
      <c r="AK2718" s="2">
        <f>T2718-W2718</f>
        <v>4.7999999999999989</v>
      </c>
      <c r="AL2718" s="5">
        <f>(T2718-W2718)/T2718</f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>(T2719-W2719)/T2719</f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>AJ2719</f>
        <v>0</v>
      </c>
      <c r="AG2719" s="2">
        <v>133.91669999999999</v>
      </c>
      <c r="AJ2719" s="2">
        <f>AI2719*T2719</f>
        <v>0</v>
      </c>
      <c r="AK2719" s="2">
        <f>T2719-W2719</f>
        <v>106.08330000000001</v>
      </c>
      <c r="AL2719" s="5">
        <f>(T2719-W2719)/T2719</f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>(T2720-W2720)/T2720</f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>AJ2720</f>
        <v>0</v>
      </c>
      <c r="AG2720" s="2">
        <v>108.12</v>
      </c>
      <c r="AJ2720" s="2">
        <f>AI2720*T2720</f>
        <v>0</v>
      </c>
      <c r="AK2720" s="2">
        <f>T2720-W2720</f>
        <v>101.88</v>
      </c>
      <c r="AL2720" s="5">
        <f>(T2720-W2720)/T2720</f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>(T2721-W2721)/T2721</f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>AJ2721</f>
        <v>0</v>
      </c>
      <c r="AJ2721" s="2">
        <f>AI2721*T2721</f>
        <v>0</v>
      </c>
      <c r="AK2721" s="2">
        <f>T2721-W2721</f>
        <v>0</v>
      </c>
      <c r="AL2721" s="5">
        <f>(T2721-W2721)/T2721</f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>(T2722-W2722)/T2722</f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>AJ2722</f>
        <v>0</v>
      </c>
      <c r="AJ2722" s="2">
        <f>AI2722*T2722</f>
        <v>0</v>
      </c>
      <c r="AK2722" s="2">
        <f>T2722-W2722</f>
        <v>545.75549999999998</v>
      </c>
      <c r="AL2722" s="5">
        <f>(T2722-W2722)/T2722</f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>(T2723-W2723)/T2723</f>
        <v>1</v>
      </c>
      <c r="Z2723" s="2" t="s">
        <v>3231</v>
      </c>
      <c r="AF2723" s="2">
        <f>AJ2723</f>
        <v>0</v>
      </c>
      <c r="AJ2723" s="2">
        <f>AI2723*T2723</f>
        <v>0</v>
      </c>
      <c r="AK2723" s="2">
        <f>T2723-W2723</f>
        <v>119</v>
      </c>
      <c r="AL2723" s="5">
        <f>(T2723-W2723)/T2723</f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>(T2724-W2724)/T2724</f>
        <v>1</v>
      </c>
      <c r="Z2724" s="2" t="s">
        <v>3231</v>
      </c>
      <c r="AF2724" s="2">
        <f>AJ2724</f>
        <v>0</v>
      </c>
      <c r="AJ2724" s="2">
        <f>AI2724*T2724</f>
        <v>0</v>
      </c>
      <c r="AK2724" s="2">
        <f>T2724-W2724</f>
        <v>12.39</v>
      </c>
      <c r="AL2724" s="5">
        <f>(T2724-W2724)/T2724</f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>(T2725-W2725)/T2725</f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>AJ2725</f>
        <v>0</v>
      </c>
      <c r="AG2725" s="2">
        <v>10</v>
      </c>
      <c r="AH2725" s="2">
        <v>21</v>
      </c>
      <c r="AJ2725" s="2">
        <f>AI2725*T2725</f>
        <v>0</v>
      </c>
      <c r="AK2725" s="2">
        <f>T2725-W2725</f>
        <v>8.6000000000000014</v>
      </c>
      <c r="AL2725" s="5">
        <f>(T2725-W2725)/T2725</f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2264</v>
      </c>
      <c r="J2726" s="2" t="s">
        <v>2265</v>
      </c>
      <c r="L2726" s="2" t="s">
        <v>419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>(T2726-W2726)/T2726</f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>AJ2726</f>
        <v>0</v>
      </c>
      <c r="AG2726" s="2">
        <v>10.67</v>
      </c>
      <c r="AH2726" s="2">
        <v>21</v>
      </c>
      <c r="AJ2726" s="2">
        <f>AI2726*T2726</f>
        <v>0</v>
      </c>
      <c r="AK2726" s="2">
        <f>T2726-W2726</f>
        <v>7.9300000000000015</v>
      </c>
      <c r="AL2726" s="5">
        <f>(T2726-W2726)/T2726</f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2264</v>
      </c>
      <c r="J2727" s="2" t="s">
        <v>2265</v>
      </c>
      <c r="L2727" s="2" t="s">
        <v>419</v>
      </c>
      <c r="M2727" s="2" t="s">
        <v>41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>(T2727-W2727)/T2727</f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>AJ2727</f>
        <v>0</v>
      </c>
      <c r="AG2727" s="2">
        <v>6.6266999999999996</v>
      </c>
      <c r="AH2727" s="2">
        <v>12</v>
      </c>
      <c r="AJ2727" s="2">
        <f>AI2727*T2727</f>
        <v>0</v>
      </c>
      <c r="AK2727" s="2">
        <f>T2727-W2727</f>
        <v>6.3733000000000004</v>
      </c>
      <c r="AL2727" s="5">
        <f>(T2727-W2727)/T2727</f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2264</v>
      </c>
      <c r="J2728" s="2" t="s">
        <v>2265</v>
      </c>
      <c r="L2728" s="2" t="s">
        <v>419</v>
      </c>
      <c r="M2728" s="2" t="s">
        <v>41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>(T2728-W2728)/T2728</f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>AJ2728</f>
        <v>0</v>
      </c>
      <c r="AG2728" s="2">
        <v>10.6</v>
      </c>
      <c r="AH2728" s="2">
        <v>18</v>
      </c>
      <c r="AJ2728" s="2">
        <f>AI2728*T2728</f>
        <v>0</v>
      </c>
      <c r="AK2728" s="2">
        <f>T2728-W2728</f>
        <v>7.4</v>
      </c>
      <c r="AL2728" s="5">
        <f>(T2728-W2728)/T2728</f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2264</v>
      </c>
      <c r="J2729" s="2" t="s">
        <v>2265</v>
      </c>
      <c r="L2729" s="2" t="s">
        <v>419</v>
      </c>
      <c r="M2729" s="2" t="s">
        <v>41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>(T2729-W2729)/T2729</f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>AJ2729</f>
        <v>0</v>
      </c>
      <c r="AG2729" s="2">
        <v>8.1999999999999993</v>
      </c>
      <c r="AH2729" s="2">
        <v>13</v>
      </c>
      <c r="AJ2729" s="2">
        <f>AI2729*T2729</f>
        <v>0</v>
      </c>
      <c r="AK2729" s="2">
        <f>T2729-W2729</f>
        <v>4.7999999999999989</v>
      </c>
      <c r="AL2729" s="5">
        <f>(T2729-W2729)/T2729</f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>(T2730-W2730)/T2730</f>
        <v>0.29992072480181192</v>
      </c>
      <c r="Z2730" s="2" t="s">
        <v>3231</v>
      </c>
      <c r="AA2730" s="2" t="s">
        <v>156</v>
      </c>
      <c r="AB2730" s="2" t="s">
        <v>3407</v>
      </c>
      <c r="AC2730" s="2" t="s">
        <v>1329</v>
      </c>
      <c r="AF2730" s="2">
        <f>AJ2730</f>
        <v>0</v>
      </c>
      <c r="AJ2730" s="2">
        <f>AI2730*T2730</f>
        <v>0</v>
      </c>
      <c r="AK2730" s="2">
        <f>T2730-W2730</f>
        <v>15.889799999999994</v>
      </c>
      <c r="AL2730" s="5">
        <f>(T2730-W2730)/T2730</f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>(T2731-W2731)/T2731</f>
        <v>0.30000000000000004</v>
      </c>
      <c r="Z2731" s="2" t="s">
        <v>3231</v>
      </c>
      <c r="AA2731" s="2" t="s">
        <v>156</v>
      </c>
      <c r="AB2731" s="2" t="s">
        <v>3407</v>
      </c>
      <c r="AC2731" s="2" t="s">
        <v>1329</v>
      </c>
      <c r="AF2731" s="2">
        <f>AJ2731</f>
        <v>0</v>
      </c>
      <c r="AJ2731" s="2">
        <f>AI2731*T2731</f>
        <v>0</v>
      </c>
      <c r="AK2731" s="2">
        <f>T2731-W2731</f>
        <v>12.600000000000001</v>
      </c>
      <c r="AL2731" s="5">
        <f>(T2731-W2731)/T2731</f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>(T2732-W2732)/T2732</f>
        <v>1</v>
      </c>
      <c r="Z2732" s="2" t="s">
        <v>3231</v>
      </c>
      <c r="AF2732" s="2">
        <f>AJ2732</f>
        <v>0</v>
      </c>
      <c r="AJ2732" s="2">
        <f>AI2732*T2732</f>
        <v>0</v>
      </c>
      <c r="AK2732" s="2">
        <f>T2732-W2732</f>
        <v>59.95</v>
      </c>
      <c r="AL2732" s="5">
        <f>(T2732-W2732)/T2732</f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>(T2733-W2733)/T2733</f>
        <v>1</v>
      </c>
      <c r="Z2733" s="2" t="s">
        <v>3231</v>
      </c>
      <c r="AF2733" s="2">
        <f>AJ2733</f>
        <v>0</v>
      </c>
      <c r="AJ2733" s="2">
        <f>AI2733*T2733</f>
        <v>0</v>
      </c>
      <c r="AK2733" s="2">
        <f>T2733-W2733</f>
        <v>59.95</v>
      </c>
      <c r="AL2733" s="5">
        <f>(T2733-W2733)/T2733</f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>(T2734-W2734)/T2734</f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>AJ2734</f>
        <v>0</v>
      </c>
      <c r="AJ2734" s="2">
        <f>AI2734*T2734</f>
        <v>0</v>
      </c>
      <c r="AK2734" s="2">
        <f>T2734-W2734</f>
        <v>68.400000000000006</v>
      </c>
      <c r="AL2734" s="5">
        <f>(T2734-W2734)/T2734</f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>(T2735-W2735)/T2735</f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>AJ2735</f>
        <v>0</v>
      </c>
      <c r="AJ2735" s="2">
        <f>AI2735*T2735</f>
        <v>0</v>
      </c>
      <c r="AK2735" s="2">
        <f>T2735-W2735</f>
        <v>100</v>
      </c>
      <c r="AL2735" s="5">
        <f>(T2735-W2735)/T2735</f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>(T2736-W2736)/T2736</f>
        <v>1</v>
      </c>
      <c r="Z2736" s="2" t="s">
        <v>120</v>
      </c>
      <c r="AA2736" s="2" t="s">
        <v>3384</v>
      </c>
      <c r="AF2736" s="2">
        <f>AJ2736</f>
        <v>0</v>
      </c>
      <c r="AJ2736" s="2">
        <f>AI2736*T2736</f>
        <v>0</v>
      </c>
      <c r="AK2736" s="2">
        <f>T2736-W2736</f>
        <v>220.11</v>
      </c>
      <c r="AL2736" s="5">
        <f>(T2736-W2736)/T2736</f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>(T2737-W2737)/T2737</f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>AJ2737</f>
        <v>0</v>
      </c>
      <c r="AG2737" s="2">
        <v>117.453</v>
      </c>
      <c r="AH2737" s="2">
        <v>220</v>
      </c>
      <c r="AJ2737" s="2">
        <f>AI2737*T2737</f>
        <v>0</v>
      </c>
      <c r="AK2737" s="2">
        <f>T2737-W2737</f>
        <v>92.537000000000006</v>
      </c>
      <c r="AL2737" s="5">
        <f>(T2737-W2737)/T2737</f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>(T2738-W2738)/T2738</f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>AJ2738</f>
        <v>0</v>
      </c>
      <c r="AJ2738" s="2">
        <f>AI2738*T2738</f>
        <v>0</v>
      </c>
      <c r="AK2738" s="2">
        <f>T2738-W2738</f>
        <v>0</v>
      </c>
      <c r="AL2738" s="5">
        <f>(T2738-W2738)/T2738</f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>(T2739-W2739)/T2739</f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>AJ2739</f>
        <v>0</v>
      </c>
      <c r="AG2739" s="2">
        <v>5.33</v>
      </c>
      <c r="AJ2739" s="2">
        <f>AI2739*T2739</f>
        <v>0</v>
      </c>
      <c r="AK2739" s="2">
        <f>T2739-W2739</f>
        <v>13.829999999999998</v>
      </c>
      <c r="AL2739" s="5">
        <f>(T2739-W2739)/T2739</f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>(T2740-W2740)/T2740</f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>AJ2740</f>
        <v>0</v>
      </c>
      <c r="AG2740" s="2">
        <v>119.33</v>
      </c>
      <c r="AH2740" s="2">
        <v>220</v>
      </c>
      <c r="AJ2740" s="2">
        <f>AI2740*T2740</f>
        <v>0</v>
      </c>
      <c r="AK2740" s="2">
        <f>T2740-W2740</f>
        <v>100.67</v>
      </c>
      <c r="AL2740" s="5">
        <f>(T2740-W2740)/T2740</f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>(T2741-W2741)/T2741</f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>AJ2741</f>
        <v>0</v>
      </c>
      <c r="AG2741" s="2">
        <v>1.1399999999999999</v>
      </c>
      <c r="AH2741" s="2">
        <v>1.1399999999999999</v>
      </c>
      <c r="AJ2741" s="2">
        <f>AI2741*T2741</f>
        <v>0</v>
      </c>
      <c r="AK2741" s="2">
        <f>T2741-W2741</f>
        <v>0</v>
      </c>
      <c r="AL2741" s="5">
        <f>(T2741-W2741)/T2741</f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>(T2742-W2742)/T2742</f>
        <v>1</v>
      </c>
      <c r="AF2742" s="2">
        <f>AJ2742</f>
        <v>0</v>
      </c>
      <c r="AJ2742" s="2">
        <f>AI2742*T2742</f>
        <v>0</v>
      </c>
      <c r="AK2742" s="2">
        <f>T2742-W2742</f>
        <v>44.98</v>
      </c>
      <c r="AL2742" s="5">
        <f>(T2742-W2742)/T2742</f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>(T2743-W2743)/T2743</f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>AJ2743</f>
        <v>0</v>
      </c>
      <c r="AJ2743" s="2">
        <f>AI2743*T2743</f>
        <v>0</v>
      </c>
      <c r="AK2743" s="2">
        <f>T2743-W2743</f>
        <v>64.199999999999989</v>
      </c>
      <c r="AL2743" s="5">
        <f>(T2743-W2743)/T2743</f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>(T2744-W2744)/T2744</f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>AJ2744</f>
        <v>0</v>
      </c>
      <c r="AJ2744" s="2">
        <f>AI2744*T2744</f>
        <v>0</v>
      </c>
      <c r="AK2744" s="2">
        <f>T2744-W2744</f>
        <v>25</v>
      </c>
      <c r="AL2744" s="5">
        <f>(T2744-W2744)/T2744</f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>(T2745-W2745)/T2745</f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>AJ2745</f>
        <v>0</v>
      </c>
      <c r="AJ2745" s="2">
        <f>AI2745*T2745</f>
        <v>0</v>
      </c>
      <c r="AK2745" s="2">
        <f>T2745-W2745</f>
        <v>123.57</v>
      </c>
      <c r="AL2745" s="5">
        <f>(T2745-W2745)/T2745</f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>AJ2746</f>
        <v>0</v>
      </c>
      <c r="AJ2746" s="2">
        <f>AI2746*T2746</f>
        <v>0</v>
      </c>
      <c r="AK2746" s="2">
        <f>T2746-W2746</f>
        <v>0</v>
      </c>
      <c r="AL2746" s="5" t="e">
        <f>(T2746-W2746)/T2746</f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>AJ2747</f>
        <v>0</v>
      </c>
      <c r="AJ2747" s="2">
        <f>AI2747*T2747</f>
        <v>0</v>
      </c>
      <c r="AK2747" s="2">
        <f>T2747-W2747</f>
        <v>199.5</v>
      </c>
      <c r="AL2747" s="5">
        <f>(T2747-W2747)/T2747</f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>(T2748-W2748)/T2748</f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>AJ2748</f>
        <v>0</v>
      </c>
      <c r="AJ2748" s="2">
        <f>AI2748*T2748</f>
        <v>0</v>
      </c>
      <c r="AK2748" s="2">
        <f>T2748-W2748</f>
        <v>61.199999999999996</v>
      </c>
      <c r="AL2748" s="5">
        <f>(T2748-W2748)/T2748</f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>(T2749-W2749)/T2749</f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>AJ2749</f>
        <v>0</v>
      </c>
      <c r="AJ2749" s="2">
        <f>AI2749*T2749</f>
        <v>0</v>
      </c>
      <c r="AK2749" s="2">
        <f>T2749-W2749</f>
        <v>22.5</v>
      </c>
      <c r="AL2749" s="5">
        <f>(T2749-W2749)/T2749</f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>(T2750-W2750)/T2750</f>
        <v>1</v>
      </c>
      <c r="Z2750" s="2" t="s">
        <v>120</v>
      </c>
      <c r="AA2750" s="2" t="s">
        <v>3384</v>
      </c>
      <c r="AF2750" s="2">
        <f>AJ2750</f>
        <v>0</v>
      </c>
      <c r="AJ2750" s="2">
        <f>AI2750*T2750</f>
        <v>0</v>
      </c>
      <c r="AK2750" s="2">
        <f>T2750-W2750</f>
        <v>99.75</v>
      </c>
      <c r="AL2750" s="5">
        <f>(T2750-W2750)/T2750</f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>(T2751-W2751)/T2751</f>
        <v>1</v>
      </c>
      <c r="AF2751" s="2">
        <f>AJ2751</f>
        <v>0</v>
      </c>
      <c r="AJ2751" s="2">
        <f>AI2751*T2751</f>
        <v>0</v>
      </c>
      <c r="AK2751" s="2">
        <f>T2751-W2751</f>
        <v>23.62</v>
      </c>
      <c r="AL2751" s="5">
        <f>(T2751-W2751)/T2751</f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>(T2752-W2752)/T2752</f>
        <v>1</v>
      </c>
      <c r="AF2752" s="2">
        <f>AJ2752</f>
        <v>0</v>
      </c>
      <c r="AJ2752" s="2">
        <f>AI2752*T2752</f>
        <v>0</v>
      </c>
      <c r="AK2752" s="2">
        <f>T2752-W2752</f>
        <v>63.16</v>
      </c>
      <c r="AL2752" s="5">
        <f>(T2752-W2752)/T2752</f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>(T2753-W2753)/T2753</f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>AJ2753</f>
        <v>0</v>
      </c>
      <c r="AG2753" s="2">
        <v>117.453</v>
      </c>
      <c r="AH2753" s="2">
        <v>220</v>
      </c>
      <c r="AJ2753" s="2">
        <f>AI2753*T2753</f>
        <v>0</v>
      </c>
      <c r="AK2753" s="2">
        <f>T2753-W2753</f>
        <v>85.86699999999999</v>
      </c>
      <c r="AL2753" s="5">
        <f>(T2753-W2753)/T2753</f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>AJ2754</f>
        <v>0</v>
      </c>
      <c r="AJ2754" s="2">
        <f>AI2754*T2754</f>
        <v>0</v>
      </c>
      <c r="AK2754" s="2">
        <f>T2754-W2754</f>
        <v>0</v>
      </c>
      <c r="AL2754" s="5" t="e">
        <f>(T2754-W2754)/T2754</f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>(T2755-W2755)/T2755</f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>AJ2755</f>
        <v>0</v>
      </c>
      <c r="AJ2755" s="2">
        <f>AI2755*T2755</f>
        <v>0</v>
      </c>
      <c r="AK2755" s="2">
        <f>T2755-W2755</f>
        <v>22.5</v>
      </c>
      <c r="AL2755" s="5">
        <f>(T2755-W2755)/T2755</f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>(T2756-W2756)/T2756</f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>AJ2756</f>
        <v>0</v>
      </c>
      <c r="AJ2756" s="2">
        <f>AI2756*T2756</f>
        <v>0</v>
      </c>
      <c r="AK2756" s="2">
        <f>T2756-W2756</f>
        <v>0</v>
      </c>
      <c r="AL2756" s="5">
        <f>(T2756-W2756)/T2756</f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>(T2757-W2757)/T2757</f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>AJ2757</f>
        <v>0</v>
      </c>
      <c r="AG2757" s="2">
        <v>8.1999999999999993</v>
      </c>
      <c r="AH2757" s="2">
        <v>13</v>
      </c>
      <c r="AJ2757" s="2">
        <f>AI2757*T2757</f>
        <v>0</v>
      </c>
      <c r="AK2757" s="2">
        <f>T2757-W2757</f>
        <v>4.7999999999999989</v>
      </c>
      <c r="AL2757" s="5">
        <f>(T2757-W2757)/T2757</f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>(T2758-W2758)/T2758</f>
        <v>1</v>
      </c>
      <c r="Z2758" s="2" t="s">
        <v>170</v>
      </c>
      <c r="AA2758" s="2" t="s">
        <v>170</v>
      </c>
      <c r="AF2758" s="2">
        <f>AJ2758</f>
        <v>0</v>
      </c>
      <c r="AJ2758" s="2">
        <f>AI2758*T2758</f>
        <v>0</v>
      </c>
      <c r="AK2758" s="2">
        <f>T2758-W2758</f>
        <v>8</v>
      </c>
      <c r="AL2758" s="5">
        <f>(T2758-W2758)/T2758</f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>(T2759-W2759)/T2759</f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>AJ2759</f>
        <v>0</v>
      </c>
      <c r="AJ2759" s="2">
        <f>AI2759*T2759</f>
        <v>0</v>
      </c>
      <c r="AK2759" s="2">
        <f>T2759-W2759</f>
        <v>5320.6</v>
      </c>
      <c r="AL2759" s="5">
        <f>(T2759-W2759)/T2759</f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>(T2760-W2760)/T2760</f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>AJ2760</f>
        <v>0</v>
      </c>
      <c r="AG2760" s="2">
        <v>10.6</v>
      </c>
      <c r="AH2760" s="2">
        <v>18</v>
      </c>
      <c r="AJ2760" s="2">
        <f>AI2760*T2760</f>
        <v>0</v>
      </c>
      <c r="AK2760" s="2">
        <f>T2760-W2760</f>
        <v>34</v>
      </c>
      <c r="AL2760" s="5">
        <f>(T2760-W2760)/T2760</f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>(T2761-W2761)/T2761</f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>AJ2761</f>
        <v>0</v>
      </c>
      <c r="AJ2761" s="2">
        <f>AI2761*T2761</f>
        <v>0</v>
      </c>
      <c r="AK2761" s="2">
        <f>T2761-W2761</f>
        <v>4330.6000000000004</v>
      </c>
      <c r="AL2761" s="5">
        <f>(T2761-W2761)/T2761</f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1103</v>
      </c>
      <c r="J2762" s="2" t="s">
        <v>1104</v>
      </c>
      <c r="L2762" s="2" t="s">
        <v>178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>(T2762-W2762)/T2762</f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>AJ2762</f>
        <v>0</v>
      </c>
      <c r="AG2762" s="2">
        <v>10.67</v>
      </c>
      <c r="AH2762" s="2">
        <v>21</v>
      </c>
      <c r="AJ2762" s="2">
        <f>AI2762*T2762</f>
        <v>0</v>
      </c>
      <c r="AK2762" s="2">
        <f>T2762-W2762</f>
        <v>7.9300000000000015</v>
      </c>
      <c r="AL2762" s="5">
        <f>(T2762-W2762)/T2762</f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1103</v>
      </c>
      <c r="J2763" s="2" t="s">
        <v>1104</v>
      </c>
      <c r="L2763" s="2" t="s">
        <v>178</v>
      </c>
      <c r="M2763" s="2" t="s">
        <v>41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>(T2763-W2763)/T2763</f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>AJ2763</f>
        <v>0</v>
      </c>
      <c r="AJ2763" s="2">
        <f>AI2763*T2763</f>
        <v>0</v>
      </c>
      <c r="AK2763" s="2">
        <f>T2763-W2763</f>
        <v>18.704999999999998</v>
      </c>
      <c r="AL2763" s="5">
        <f>(T2763-W2763)/T2763</f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1103</v>
      </c>
      <c r="J2764" s="2" t="s">
        <v>1104</v>
      </c>
      <c r="L2764" s="2" t="s">
        <v>178</v>
      </c>
      <c r="M2764" s="2" t="s">
        <v>41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>(T2764-W2764)/T2764</f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>AJ2764</f>
        <v>0</v>
      </c>
      <c r="AG2764" s="2">
        <v>8.1999999999999993</v>
      </c>
      <c r="AH2764" s="2">
        <v>13</v>
      </c>
      <c r="AJ2764" s="2">
        <f>AI2764*T2764</f>
        <v>0</v>
      </c>
      <c r="AK2764" s="2">
        <f>T2764-W2764</f>
        <v>23</v>
      </c>
      <c r="AL2764" s="5">
        <f>(T2764-W2764)/T2764</f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>(T2765-W2765)/T2765</f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>AJ2765</f>
        <v>0</v>
      </c>
      <c r="AJ2765" s="2">
        <f>AI2765*T2765</f>
        <v>0</v>
      </c>
      <c r="AK2765" s="2">
        <f>T2765-W2765</f>
        <v>4416.41</v>
      </c>
      <c r="AL2765" s="5">
        <f>(T2765-W2765)/T2765</f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>(T2766-W2766)/T2766</f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>AJ2766</f>
        <v>0</v>
      </c>
      <c r="AJ2766" s="2">
        <f>AI2766*T2766</f>
        <v>0</v>
      </c>
      <c r="AK2766" s="2">
        <f>T2766-W2766</f>
        <v>102.15</v>
      </c>
      <c r="AL2766" s="5">
        <f>(T2766-W2766)/T2766</f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>(T2767-W2767)/T2767</f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>AJ2767</f>
        <v>0</v>
      </c>
      <c r="AJ2767" s="2">
        <f>AI2767*T2767</f>
        <v>0</v>
      </c>
      <c r="AK2767" s="2">
        <f>T2767-W2767</f>
        <v>0</v>
      </c>
      <c r="AL2767" s="5">
        <f>(T2767-W2767)/T2767</f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>(T2768-W2768)/T2768</f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>AJ2768</f>
        <v>0</v>
      </c>
      <c r="AG2768" s="2">
        <v>6.6266999999999996</v>
      </c>
      <c r="AH2768" s="2">
        <v>12</v>
      </c>
      <c r="AJ2768" s="2">
        <f>AI2768*T2768</f>
        <v>0</v>
      </c>
      <c r="AK2768" s="2">
        <f>T2768-W2768</f>
        <v>16.119900000000001</v>
      </c>
      <c r="AL2768" s="5">
        <f>(T2768-W2768)/T2768</f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>(T2769-W2769)/T2769</f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>AJ2769</f>
        <v>0</v>
      </c>
      <c r="AJ2769" s="2">
        <f>AI2769*T2769</f>
        <v>0</v>
      </c>
      <c r="AK2769" s="2">
        <f>T2769-W2769</f>
        <v>18.704999999999998</v>
      </c>
      <c r="AL2769" s="5">
        <f>(T2769-W2769)/T2769</f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>(T2770-W2770)/T2770</f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>AJ2770</f>
        <v>0</v>
      </c>
      <c r="AG2770" s="2">
        <v>5.2972999999999999</v>
      </c>
      <c r="AH2770" s="2">
        <v>10.8</v>
      </c>
      <c r="AJ2770" s="2">
        <f>AI2770*T2770</f>
        <v>0</v>
      </c>
      <c r="AK2770" s="2">
        <f>T2770-W2770</f>
        <v>4.3026999999999997</v>
      </c>
      <c r="AL2770" s="5">
        <f>(T2770-W2770)/T2770</f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>(T2771-W2771)/T2771</f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>AJ2771</f>
        <v>0</v>
      </c>
      <c r="AJ2771" s="2">
        <f>AI2771*T2771</f>
        <v>0</v>
      </c>
      <c r="AK2771" s="2">
        <f>T2771-W2771</f>
        <v>6.52</v>
      </c>
      <c r="AL2771" s="5">
        <f>(T2771-W2771)/T2771</f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>(T2772-W2772)/T2772</f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>AJ2772</f>
        <v>0</v>
      </c>
      <c r="AJ2772" s="2">
        <f>AI2772*T2772</f>
        <v>0</v>
      </c>
      <c r="AK2772" s="2">
        <f>T2772-W2772</f>
        <v>3</v>
      </c>
      <c r="AL2772" s="5">
        <f>(T2772-W2772)/T2772</f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>(T2773-W2773)/T2773</f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>AJ2773</f>
        <v>0</v>
      </c>
      <c r="AJ2773" s="2">
        <f>AI2773*T2773</f>
        <v>0</v>
      </c>
      <c r="AK2773" s="2">
        <f>T2773-W2773</f>
        <v>8.4</v>
      </c>
      <c r="AL2773" s="5">
        <f>(T2773-W2773)/T2773</f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>AJ2774</f>
        <v>0</v>
      </c>
      <c r="AJ2774" s="2">
        <f>AI2774*T2774</f>
        <v>0</v>
      </c>
      <c r="AK2774" s="2">
        <f>T2774-W2774</f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>AJ2775</f>
        <v>0</v>
      </c>
      <c r="AJ2775" s="2">
        <f>AI2775*T2775</f>
        <v>0</v>
      </c>
      <c r="AK2775" s="2">
        <f>T2775-W2775</f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>IF(T2776=0,IF(W2776&gt;0,-100%,0%),(T2776-W2776)/T2776)</f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>AJ2776</f>
        <v>0</v>
      </c>
      <c r="AJ2776" s="2">
        <f>AI2776*T2776</f>
        <v>0</v>
      </c>
      <c r="AK2776" s="2">
        <f>T2776-W2776</f>
        <v>0</v>
      </c>
      <c r="AL2776" s="5">
        <f>IF(T2776=0,IF(W2776&gt;0,-100%,0%),(T2776-W2776)/T2776)</f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>AJ2777</f>
        <v>0</v>
      </c>
      <c r="AG2777" s="2">
        <v>5.9066999999999998</v>
      </c>
      <c r="AH2777" s="2">
        <v>12.6</v>
      </c>
      <c r="AJ2777" s="2">
        <f>AI2777*T2777</f>
        <v>0</v>
      </c>
      <c r="AK2777" s="2">
        <f>T2777-W2777</f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>AJ2778</f>
        <v>0</v>
      </c>
      <c r="AJ2778" s="2">
        <f>AI2778*T2778</f>
        <v>0</v>
      </c>
      <c r="AK2778" s="2">
        <f>T2778-W2778</f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>IF(T2779=0,IF(W2779&gt;0,-100%,0%),(T2779-W2779)/T2779)</f>
        <v>-1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>AJ2779</f>
        <v>0</v>
      </c>
      <c r="AJ2779" s="2">
        <f>AI2779*T2779</f>
        <v>0</v>
      </c>
      <c r="AK2779" s="2">
        <f>T2779-W2779</f>
        <v>-16.224900000000002</v>
      </c>
      <c r="AL2779" s="18">
        <f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>IF(T2780=0,IF(W2780&gt;0,-100%,0%),(T2780-W2780)/T2780)</f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>AJ2780</f>
        <v>0</v>
      </c>
      <c r="AG2780" s="2">
        <v>29.27</v>
      </c>
      <c r="AH2780" s="2">
        <v>60</v>
      </c>
      <c r="AJ2780" s="2">
        <f>AI2780*T2780</f>
        <v>0</v>
      </c>
      <c r="AK2780" s="2">
        <f>T2780-W2780</f>
        <v>0</v>
      </c>
      <c r="AL2780" s="5">
        <f>IF(T2780=0,IF(W2780&gt;0,-100%,0%),(T2780-W2780)/T2780)</f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>IF(T2781=0,IF(W2781&gt;0,-100%,0%),(T2781-W2781)/T2781)</f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>AJ2781</f>
        <v>0</v>
      </c>
      <c r="AG2781" s="2">
        <v>8.1999999999999993</v>
      </c>
      <c r="AH2781" s="2">
        <v>13</v>
      </c>
      <c r="AJ2781" s="2">
        <f>AI2781*T2781</f>
        <v>0</v>
      </c>
      <c r="AK2781" s="2">
        <f>T2781-W2781</f>
        <v>-8.2000000000000011</v>
      </c>
      <c r="AL2781" s="5">
        <f>IF(T2781=0,IF(W2781&gt;0,-100%,0%),(T2781-W2781)/T2781)</f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>IF(T2782=0,IF(W2782&gt;0,-100%,0%),(T2782-W2782)/T2782)</f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>AJ2782</f>
        <v>0</v>
      </c>
      <c r="AJ2782" s="2">
        <f>AI2782*T2782</f>
        <v>0</v>
      </c>
      <c r="AK2782" s="2">
        <f>T2782-W2782</f>
        <v>-9.1399999999999988</v>
      </c>
      <c r="AL2782" s="19">
        <f>IF(T2782=0,IF(W2782&gt;0,-100%,0%),(T2782-W2782)/T2782)</f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>IF(T2783=0,IF(W2783&gt;0,-100%,0%),(T2783-W2783)/T2783)</f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>AJ2783</f>
        <v>0</v>
      </c>
      <c r="AG2783" s="2">
        <v>15.020300000000001</v>
      </c>
      <c r="AH2783" s="2">
        <v>27.6</v>
      </c>
      <c r="AJ2783" s="2">
        <f>AI2783*T2783</f>
        <v>0</v>
      </c>
      <c r="AK2783" s="2">
        <f>T2783-W2783</f>
        <v>-45.060900000000004</v>
      </c>
      <c r="AL2783" s="5">
        <f>IF(T2783=0,IF(W2783&gt;0,-100%,0%),(T2783-W2783)/T2783)</f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>IF(T2784=0,IF(W2784&gt;0,-100%,0%),(T2784-W2784)/T2784)</f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>AJ2784</f>
        <v>0</v>
      </c>
      <c r="AJ2784" s="2">
        <f>AI2784*T2784</f>
        <v>0</v>
      </c>
      <c r="AK2784" s="2">
        <f>T2784-W2784</f>
        <v>0</v>
      </c>
      <c r="AL2784" s="5">
        <f>IF(T2784=0,IF(W2784&gt;0,-100%,0%),(T2784-W2784)/T2784)</f>
        <v>0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>AJ2785</f>
        <v>0</v>
      </c>
      <c r="AJ2785" s="2">
        <f>AI2785*T2785</f>
        <v>0</v>
      </c>
      <c r="AK2785" s="2">
        <f>T2785-W2785</f>
        <v>79.180000000000007</v>
      </c>
      <c r="AL2785" s="5">
        <f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>(T2786-W2786)/T2786</f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>AJ2786</f>
        <v>0</v>
      </c>
      <c r="AJ2786" s="2">
        <f>AI2786*T2786</f>
        <v>0</v>
      </c>
      <c r="AK2786" s="2">
        <f>T2786-W2786</f>
        <v>0</v>
      </c>
      <c r="AL2786" s="5">
        <f>(T2786-W2786)/T2786</f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>(T2787-W2787)/T2787</f>
        <v>1</v>
      </c>
      <c r="AF2787" s="2">
        <f>AJ2787</f>
        <v>0</v>
      </c>
      <c r="AJ2787" s="2">
        <f>AI2787*T2787</f>
        <v>0</v>
      </c>
      <c r="AK2787" s="2">
        <f>T2787-W2787</f>
        <v>234.52</v>
      </c>
      <c r="AL2787" s="5">
        <f>(T2787-W2787)/T2787</f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M2788" s="2" t="s">
        <v>41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>(T2788-W2788)/T2788</f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>AJ2788</f>
        <v>0</v>
      </c>
      <c r="AJ2788" s="2">
        <f>AI2788*T2788</f>
        <v>0</v>
      </c>
      <c r="AK2788" s="2">
        <f>T2788-W2788</f>
        <v>99.75</v>
      </c>
      <c r="AL2788" s="5">
        <f>(T2788-W2788)/T2788</f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M2789" s="2" t="s">
        <v>41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>(T2789-W2789)/T2789</f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>AJ2789</f>
        <v>0</v>
      </c>
      <c r="AJ2789" s="2">
        <f>AI2789*T2789</f>
        <v>0</v>
      </c>
      <c r="AK2789" s="2">
        <f>T2789-W2789</f>
        <v>23.200000000000003</v>
      </c>
      <c r="AL2789" s="5">
        <f>(T2789-W2789)/T2789</f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M2790" s="2" t="s">
        <v>41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>(T2790-W2790)/T2790</f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>AJ2790</f>
        <v>0</v>
      </c>
      <c r="AJ2790" s="2">
        <f>AI2790*T2790</f>
        <v>0</v>
      </c>
      <c r="AK2790" s="2">
        <f>T2790-W2790</f>
        <v>55.349999999999994</v>
      </c>
      <c r="AL2790" s="5">
        <f>(T2790-W2790)/T2790</f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M2791" s="2" t="s">
        <v>41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>(T2791-W2791)/T2791</f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>AJ2791</f>
        <v>0</v>
      </c>
      <c r="AJ2791" s="2">
        <f>AI2791*T2791</f>
        <v>0</v>
      </c>
      <c r="AK2791" s="2">
        <f>T2791-W2791</f>
        <v>56.115000000000002</v>
      </c>
      <c r="AL2791" s="5">
        <f>(T2791-W2791)/T2791</f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M2792" s="2" t="s">
        <v>41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>(T2792-W2792)/T2792</f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>AJ2792</f>
        <v>0</v>
      </c>
      <c r="AJ2792" s="2">
        <f>AI2792*T2792</f>
        <v>0</v>
      </c>
      <c r="AK2792" s="2">
        <f>T2792-W2792</f>
        <v>19.8</v>
      </c>
      <c r="AL2792" s="5">
        <f>(T2792-W2792)/T2792</f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M2793" s="2" t="s">
        <v>41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>(T2793-W2793)/T2793</f>
        <v>0.44138749999999999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>AJ2793</f>
        <v>0</v>
      </c>
      <c r="AJ2793" s="2">
        <f>AI2793*T2793</f>
        <v>0</v>
      </c>
      <c r="AK2793" s="2">
        <f>T2793-W2793</f>
        <v>10.593299999999999</v>
      </c>
      <c r="AL2793" s="5">
        <f>(T2793-W2793)/T2793</f>
        <v>0.44138749999999999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M2794" s="2" t="s">
        <v>41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>(T2794-W2794)/T2794</f>
        <v>0.43663541666666661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>AJ2794</f>
        <v>0</v>
      </c>
      <c r="AJ2794" s="2">
        <f>AI2794*T2794</f>
        <v>0</v>
      </c>
      <c r="AK2794" s="2">
        <f>T2794-W2794</f>
        <v>12.575099999999999</v>
      </c>
      <c r="AL2794" s="5">
        <f>(T2794-W2794)/T2794</f>
        <v>0.43663541666666661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M2795" s="2" t="s">
        <v>41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>(T2795-W2795)/T2795</f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>AJ2795</f>
        <v>0</v>
      </c>
      <c r="AJ2795" s="2">
        <f>AI2795*T2795</f>
        <v>0</v>
      </c>
      <c r="AK2795" s="2">
        <f>T2795-W2795</f>
        <v>16.8</v>
      </c>
      <c r="AL2795" s="5">
        <f>(T2795-W2795)/T2795</f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M2796" s="2" t="s">
        <v>41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>(T2796-W2796)/T2796</f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>AJ2796</f>
        <v>0</v>
      </c>
      <c r="AG2796" s="2">
        <v>9.14</v>
      </c>
      <c r="AH2796" s="2">
        <v>16</v>
      </c>
      <c r="AJ2796" s="2">
        <f>AI2796*T2796</f>
        <v>0</v>
      </c>
      <c r="AK2796" s="2">
        <f>T2796-W2796</f>
        <v>3.8600000000000012</v>
      </c>
      <c r="AL2796" s="5">
        <f>(T2796-W2796)/T2796</f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M2797" s="2" t="s">
        <v>41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>(T2797-W2797)/T2797</f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>AJ2797</f>
        <v>0</v>
      </c>
      <c r="AG2797" s="2">
        <v>8.1999999999999993</v>
      </c>
      <c r="AH2797" s="2">
        <v>13</v>
      </c>
      <c r="AJ2797" s="2">
        <f>AI2797*T2797</f>
        <v>0</v>
      </c>
      <c r="AK2797" s="2">
        <f>T2797-W2797</f>
        <v>3.7999999999999989</v>
      </c>
      <c r="AL2797" s="5">
        <f>(T2797-W2797)/T2797</f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M2798" s="2" t="s">
        <v>41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>(T2798-W2798)/T2798</f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>AJ2798</f>
        <v>0</v>
      </c>
      <c r="AG2798" s="2">
        <v>15.020300000000001</v>
      </c>
      <c r="AH2798" s="2">
        <v>27.6</v>
      </c>
      <c r="AJ2798" s="2">
        <f>AI2798*T2798</f>
        <v>0</v>
      </c>
      <c r="AK2798" s="2">
        <f>T2798-W2798</f>
        <v>6.9796999999999993</v>
      </c>
      <c r="AL2798" s="5">
        <f>(T2798-W2798)/T2798</f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>(T2799-W2799)/T2799</f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>AJ2799</f>
        <v>0</v>
      </c>
      <c r="AJ2799" s="2">
        <f>AI2799*T2799</f>
        <v>0</v>
      </c>
      <c r="AK2799" s="2">
        <f>T2799-W2799</f>
        <v>361.48979999999983</v>
      </c>
      <c r="AL2799" s="5">
        <f>(T2799-W2799)/T2799</f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>(T2800-W2800)/T2800</f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>AJ2800</f>
        <v>0</v>
      </c>
      <c r="AJ2800" s="2">
        <f>AI2800*T2800</f>
        <v>0</v>
      </c>
      <c r="AK2800" s="2">
        <f>T2800-W2800</f>
        <v>25.908000000000001</v>
      </c>
      <c r="AL2800" s="5">
        <f>(T2800-W2800)/T2800</f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>(T2801-W2801)/T2801</f>
        <v>1</v>
      </c>
      <c r="Z2801" s="2" t="s">
        <v>170</v>
      </c>
      <c r="AA2801" s="2" t="s">
        <v>170</v>
      </c>
      <c r="AF2801" s="2">
        <f>AJ2801</f>
        <v>0</v>
      </c>
      <c r="AJ2801" s="2">
        <f>AI2801*T2801</f>
        <v>0</v>
      </c>
      <c r="AK2801" s="2">
        <f>T2801-W2801</f>
        <v>5</v>
      </c>
      <c r="AL2801" s="5">
        <f>(T2801-W2801)/T2801</f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>(T2802-W2802)/T2802</f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>AJ2802</f>
        <v>0</v>
      </c>
      <c r="AG2802" s="2">
        <v>119.33</v>
      </c>
      <c r="AH2802" s="2">
        <v>220</v>
      </c>
      <c r="AJ2802" s="2">
        <f>AI2802*T2802</f>
        <v>0</v>
      </c>
      <c r="AK2802" s="2">
        <f>T2802-W2802</f>
        <v>110.67</v>
      </c>
      <c r="AL2802" s="5">
        <f>(T2802-W2802)/T2802</f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>(T2803-W2803)/T2803</f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>AJ2803</f>
        <v>0</v>
      </c>
      <c r="AG2803" s="2">
        <v>1.1399999999999999</v>
      </c>
      <c r="AH2803" s="2">
        <v>1.1399999999999999</v>
      </c>
      <c r="AJ2803" s="2">
        <f>AI2803*T2803</f>
        <v>0</v>
      </c>
      <c r="AK2803" s="2">
        <f>T2803-W2803</f>
        <v>0</v>
      </c>
      <c r="AL2803" s="5">
        <f>(T2803-W2803)/T2803</f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>(T2804-W2804)/T2804</f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>AJ2804</f>
        <v>0</v>
      </c>
      <c r="AJ2804" s="2">
        <f>AI2804*T2804</f>
        <v>0</v>
      </c>
      <c r="AK2804" s="2">
        <f>T2804-W2804</f>
        <v>47.4</v>
      </c>
      <c r="AL2804" s="5">
        <f>(T2804-W2804)/T2804</f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>(T2805-W2805)/T2805</f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>AJ2805</f>
        <v>0</v>
      </c>
      <c r="AJ2805" s="2">
        <f>AI2805*T2805</f>
        <v>0</v>
      </c>
      <c r="AK2805" s="2">
        <f>T2805-W2805</f>
        <v>25</v>
      </c>
      <c r="AL2805" s="5">
        <f>(T2805-W2805)/T2805</f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>(T2806-W2806)/T2806</f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>AJ2806</f>
        <v>0</v>
      </c>
      <c r="AG2806" s="2">
        <v>117.453</v>
      </c>
      <c r="AH2806" s="2">
        <v>220</v>
      </c>
      <c r="AJ2806" s="2">
        <f>AI2806*T2806</f>
        <v>0</v>
      </c>
      <c r="AK2806" s="2">
        <f>T2806-W2806</f>
        <v>102.547</v>
      </c>
      <c r="AL2806" s="5">
        <f>(T2806-W2806)/T2806</f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>(T2807-W2807)/T2807</f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>AJ2807</f>
        <v>0</v>
      </c>
      <c r="AJ2807" s="2">
        <f>AI2807*T2807</f>
        <v>0</v>
      </c>
      <c r="AK2807" s="2">
        <f>T2807-W2807</f>
        <v>0</v>
      </c>
      <c r="AL2807" s="5">
        <f>(T2807-W2807)/T2807</f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>(T2808-W2808)/T2808</f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>AJ2808</f>
        <v>0</v>
      </c>
      <c r="AG2808" s="2">
        <v>299.25</v>
      </c>
      <c r="AH2808" s="2">
        <v>399</v>
      </c>
      <c r="AJ2808" s="2">
        <f>AI2808*T2808</f>
        <v>0</v>
      </c>
      <c r="AK2808" s="2">
        <f>T2808-W2808</f>
        <v>99.75</v>
      </c>
      <c r="AL2808" s="5">
        <f>(T2808-W2808)/T2808</f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>(T2809-W2809)/T2809</f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>AJ2809</f>
        <v>0</v>
      </c>
      <c r="AJ2809" s="2">
        <f>AI2809*T2809</f>
        <v>0</v>
      </c>
      <c r="AK2809" s="2">
        <f>T2809-W2809</f>
        <v>31.2</v>
      </c>
      <c r="AL2809" s="5">
        <f>(T2809-W2809)/T2809</f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>(T2810-W2810)/T2810</f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>AJ2810</f>
        <v>0</v>
      </c>
      <c r="AJ2810" s="2">
        <f>AI2810*T2810</f>
        <v>0</v>
      </c>
      <c r="AK2810" s="2">
        <f>T2810-W2810</f>
        <v>25</v>
      </c>
      <c r="AL2810" s="5">
        <f>(T2810-W2810)/T2810</f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>(T2811-W2811)/T2811</f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>AJ2811</f>
        <v>0</v>
      </c>
      <c r="AJ2811" s="2">
        <f>AI2811*T2811</f>
        <v>0</v>
      </c>
      <c r="AK2811" s="2">
        <f>T2811-W2811</f>
        <v>83.4</v>
      </c>
      <c r="AL2811" s="5">
        <f>(T2811-W2811)/T2811</f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>(T2812-W2812)/T2812</f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>AJ2812</f>
        <v>0</v>
      </c>
      <c r="AJ2812" s="2">
        <f>AI2812*T2812</f>
        <v>0</v>
      </c>
      <c r="AK2812" s="2">
        <f>T2812-W2812</f>
        <v>25</v>
      </c>
      <c r="AL2812" s="5">
        <f>(T2812-W2812)/T2812</f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>T2813</f>
        <v>26.4</v>
      </c>
      <c r="W2813" s="2">
        <f>7.2217*S2813</f>
        <v>14.4434</v>
      </c>
      <c r="X2813" s="5">
        <f>(T2813-W2813)/T2813</f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>AJ2813</f>
        <v>0</v>
      </c>
      <c r="AG2813" s="2">
        <v>7.2217000000000002</v>
      </c>
      <c r="AH2813" s="2">
        <v>14.4</v>
      </c>
      <c r="AJ2813" s="2">
        <f>AI2813*T2813</f>
        <v>0</v>
      </c>
      <c r="AK2813" s="2">
        <f>T2813-W2813</f>
        <v>11.956599999999998</v>
      </c>
      <c r="AL2813" s="5">
        <f>(T2813-W2813)/T2813</f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>T2814</f>
        <v>19.8</v>
      </c>
      <c r="X2814" s="5">
        <f>(T2814-W2814)/T2814</f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>AJ2814</f>
        <v>0</v>
      </c>
      <c r="AJ2814" s="2">
        <f>AI2814*T2814</f>
        <v>0</v>
      </c>
      <c r="AK2814" s="2">
        <f>T2814-W2814</f>
        <v>19.8</v>
      </c>
      <c r="AL2814" s="5">
        <f>(T2814-W2814)/T2814</f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>T2815</f>
        <v>24</v>
      </c>
      <c r="W2815" s="2">
        <f>13.4067*S2815</f>
        <v>13.406700000000001</v>
      </c>
      <c r="X2815" s="5">
        <f>(T2815-W2815)/T2815</f>
        <v>0.44138749999999999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>AJ2815</f>
        <v>0</v>
      </c>
      <c r="AJ2815" s="2">
        <f>AI2815*T2815</f>
        <v>0</v>
      </c>
      <c r="AK2815" s="2">
        <f>T2815-W2815</f>
        <v>10.593299999999999</v>
      </c>
      <c r="AL2815" s="5">
        <f>(T2815-W2815)/T2815</f>
        <v>0.44138749999999999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>T2816</f>
        <v>210</v>
      </c>
      <c r="W2816" s="2">
        <f>0.082*S2816</f>
        <v>164</v>
      </c>
      <c r="X2816" s="5">
        <f>(T2816-W2816)/T2816</f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>AJ2816</f>
        <v>0</v>
      </c>
      <c r="AG2816" s="2">
        <v>8.1999999999999993</v>
      </c>
      <c r="AH2816" s="2">
        <v>13</v>
      </c>
      <c r="AJ2816" s="2">
        <f>AI2816*T2816</f>
        <v>0</v>
      </c>
      <c r="AK2816" s="2">
        <f>T2816-W2816</f>
        <v>46</v>
      </c>
      <c r="AL2816" s="5">
        <f>(T2816-W2816)/T2816</f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>T2817</f>
        <v>57.5</v>
      </c>
      <c r="W2817" s="2">
        <f>0.0914*S2817</f>
        <v>45.699999999999996</v>
      </c>
      <c r="X2817" s="5">
        <f>(T2817-W2817)/T2817</f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>AJ2817</f>
        <v>0</v>
      </c>
      <c r="AJ2817" s="2">
        <f>AI2817*T2817</f>
        <v>0</v>
      </c>
      <c r="AK2817" s="2">
        <f>T2817-W2817</f>
        <v>11.800000000000004</v>
      </c>
      <c r="AL2817" s="5">
        <f>(T2817-W2817)/T2817</f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>T2818</f>
        <v>44</v>
      </c>
      <c r="W2818" s="2">
        <f>15.0203*S2818</f>
        <v>30.040600000000001</v>
      </c>
      <c r="X2818" s="5">
        <f>(T2818-W2818)/T2818</f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>AJ2818</f>
        <v>0</v>
      </c>
      <c r="AG2818" s="2">
        <v>15.020300000000001</v>
      </c>
      <c r="AH2818" s="2">
        <v>27.6</v>
      </c>
      <c r="AJ2818" s="2">
        <f>AI2818*T2818</f>
        <v>0</v>
      </c>
      <c r="AK2818" s="2">
        <f>T2818-W2818</f>
        <v>13.959399999999999</v>
      </c>
      <c r="AL2818" s="5">
        <f>(T2818-W2818)/T2818</f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>(T2819-W2819)/T2819</f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>AJ2819</f>
        <v>0</v>
      </c>
      <c r="AJ2819" s="2">
        <f>AI2819*T2819</f>
        <v>0</v>
      </c>
      <c r="AK2819" s="2">
        <f>T2819-W2819</f>
        <v>30</v>
      </c>
      <c r="AL2819" s="5">
        <f>(T2819-W2819)/T2819</f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>(T2820-W2820)/T2820</f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>AJ2820</f>
        <v>0</v>
      </c>
      <c r="AG2820" s="2">
        <f>W2820</f>
        <v>25</v>
      </c>
      <c r="AJ2820" s="2">
        <f>AI2820*T2820</f>
        <v>0</v>
      </c>
      <c r="AK2820" s="2">
        <f>T2820-W2820</f>
        <v>25</v>
      </c>
      <c r="AL2820" s="5">
        <f>(T2820-W2820)/T2820</f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>(T2821-W2821)/T2821</f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>AJ2821</f>
        <v>0</v>
      </c>
      <c r="AJ2821" s="2">
        <f>AI2821*T2821</f>
        <v>0</v>
      </c>
      <c r="AK2821" s="2">
        <f>T2821-W2821</f>
        <v>242.39999999999998</v>
      </c>
      <c r="AL2821" s="5">
        <f>(T2821-W2821)/T2821</f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>(T2822-W2822)/T2822</f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>AJ2822</f>
        <v>0</v>
      </c>
      <c r="AG2822" s="2">
        <f>W2822</f>
        <v>165</v>
      </c>
      <c r="AJ2822" s="2">
        <f>AI2822*T2822</f>
        <v>0</v>
      </c>
      <c r="AK2822" s="2">
        <f>T2822-W2822</f>
        <v>165</v>
      </c>
      <c r="AL2822" s="5">
        <f>(T2822-W2822)/T2822</f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>(T2823-W2823)/T2823</f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>AJ2823</f>
        <v>0</v>
      </c>
      <c r="AG2823" s="2">
        <v>136.38999999999999</v>
      </c>
      <c r="AH2823" s="2">
        <v>282.11399999999998</v>
      </c>
      <c r="AJ2823" s="2">
        <f>AI2823*T2823</f>
        <v>0</v>
      </c>
      <c r="AK2823" s="2">
        <f>T2823-W2823</f>
        <v>60.320000000000022</v>
      </c>
      <c r="AL2823" s="5">
        <f>(T2823-W2823)/T2823</f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>(T2824-W2824)/T2824</f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>AJ2824</f>
        <v>0</v>
      </c>
      <c r="AG2824" s="2">
        <v>27.86</v>
      </c>
      <c r="AJ2824" s="2">
        <f>AI2824*T2824</f>
        <v>0</v>
      </c>
      <c r="AK2824" s="2">
        <f>T2824-W2824</f>
        <v>30.880000000000003</v>
      </c>
      <c r="AL2824" s="5">
        <f>(T2824-W2824)/T2824</f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>(T2825-W2825)/T2825</f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>AJ2825</f>
        <v>0</v>
      </c>
      <c r="AG2825" s="2">
        <v>28.372499999999999</v>
      </c>
      <c r="AJ2825" s="2">
        <f>AI2825*T2825</f>
        <v>0</v>
      </c>
      <c r="AK2825" s="2">
        <f>T2825-W2825</f>
        <v>30.37</v>
      </c>
      <c r="AL2825" s="5">
        <f>(T2825-W2825)/T2825</f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>(T2826-W2826)/T2826</f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>AJ2826</f>
        <v>0</v>
      </c>
      <c r="AG2826" s="2">
        <v>12.938599999999999</v>
      </c>
      <c r="AJ2826" s="2">
        <f>AI2826*T2826</f>
        <v>0</v>
      </c>
      <c r="AK2826" s="2">
        <f>T2826-W2826</f>
        <v>13.8514</v>
      </c>
      <c r="AL2826" s="5">
        <f>(T2826-W2826)/T2826</f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>(T2827-W2827)/T2827</f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>AJ2827</f>
        <v>0</v>
      </c>
      <c r="AG2827" s="2">
        <v>11.246700000000001</v>
      </c>
      <c r="AJ2827" s="2">
        <f>AI2827*T2827</f>
        <v>0</v>
      </c>
      <c r="AK2827" s="2">
        <f>T2827-W2827</f>
        <v>12.543299999999999</v>
      </c>
      <c r="AL2827" s="5">
        <f>(T2827-W2827)/T2827</f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>(T2828-W2828)/T2828</f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>AJ2828</f>
        <v>0</v>
      </c>
      <c r="AG2828" s="2">
        <v>386</v>
      </c>
      <c r="AJ2828" s="2">
        <f>AI2828*T2828</f>
        <v>0</v>
      </c>
      <c r="AK2828" s="2">
        <f>T2828-W2828</f>
        <v>759.15000000000009</v>
      </c>
      <c r="AL2828" s="5">
        <f>(T2828-W2828)/T2828</f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>AJ2829</f>
        <v>0</v>
      </c>
      <c r="AG2829" s="2">
        <v>11.182499999999999</v>
      </c>
      <c r="AJ2829" s="2">
        <f>AI2829*T2829</f>
        <v>0</v>
      </c>
      <c r="AK2829" s="2">
        <f>T2829-W2829</f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>AJ2830</f>
        <v>0</v>
      </c>
      <c r="AJ2830" s="2">
        <f>AI2830*T2830</f>
        <v>0</v>
      </c>
      <c r="AK2830" s="2">
        <f>T2830-W2830</f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>AJ2831</f>
        <v>0</v>
      </c>
      <c r="AG2831" s="2">
        <v>6.2991999999999999</v>
      </c>
      <c r="AJ2831" s="2">
        <f>AI2831*T2831</f>
        <v>0</v>
      </c>
      <c r="AK2831" s="2">
        <f>T2831-W2831</f>
        <v>14.0816</v>
      </c>
      <c r="AL2831" s="5">
        <f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>(T2832-W2832)/T2832</f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>AJ2832</f>
        <v>0</v>
      </c>
      <c r="AG2832" s="2">
        <v>6.3601999999999999</v>
      </c>
      <c r="AJ2832" s="2">
        <f>AI2832*T2832</f>
        <v>0</v>
      </c>
      <c r="AK2832" s="2">
        <f>T2832-W2832</f>
        <v>7.1597999999999997</v>
      </c>
      <c r="AL2832" s="5">
        <f>(T2832-W2832)/T2832</f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>(T2833-W2833)/T2833</f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>AJ2833</f>
        <v>0</v>
      </c>
      <c r="AG2833" s="2">
        <v>35.931699999999999</v>
      </c>
      <c r="AJ2833" s="2">
        <f>AI2833*T2833</f>
        <v>0</v>
      </c>
      <c r="AK2833" s="2">
        <f>T2833-W2833</f>
        <v>81.476600000000005</v>
      </c>
      <c r="AL2833" s="5">
        <f>(T2833-W2833)/T2833</f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>(T2834-W2834)/T2834</f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>AJ2834</f>
        <v>0</v>
      </c>
      <c r="AG2834" s="2">
        <v>35.931699999999999</v>
      </c>
      <c r="AJ2834" s="2">
        <f>AI2834*T2834</f>
        <v>0</v>
      </c>
      <c r="AK2834" s="2">
        <f>T2834-W2834</f>
        <v>40.738300000000002</v>
      </c>
      <c r="AL2834" s="5">
        <f>(T2834-W2834)/T2834</f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>(T2835-W2835)/T2835</f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>AJ2835</f>
        <v>0</v>
      </c>
      <c r="AG2835" s="2">
        <v>34.743400000000001</v>
      </c>
      <c r="AJ2835" s="2">
        <f>AI2835*T2835</f>
        <v>0</v>
      </c>
      <c r="AK2835" s="2">
        <f>T2835-W2835</f>
        <v>38.686600000000006</v>
      </c>
      <c r="AL2835" s="5">
        <f>(T2835-W2835)/T2835</f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>(T2836-W2836)/T2836</f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>AJ2836</f>
        <v>0</v>
      </c>
      <c r="AG2836" s="2">
        <v>22.2</v>
      </c>
      <c r="AJ2836" s="2">
        <f>AI2836*T2836</f>
        <v>0</v>
      </c>
      <c r="AK2836" s="2">
        <f>T2836-W2836</f>
        <v>51.816000000000003</v>
      </c>
      <c r="AL2836" s="5">
        <f>(T2836-W2836)/T2836</f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>(T2837-W2837)/T2837</f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>AJ2837</f>
        <v>0</v>
      </c>
      <c r="AG2837" s="2">
        <v>22.2</v>
      </c>
      <c r="AJ2837" s="2">
        <f>AI2837*T2837</f>
        <v>0</v>
      </c>
      <c r="AK2837" s="2">
        <f>T2837-W2837</f>
        <v>51.816000000000003</v>
      </c>
      <c r="AL2837" s="5">
        <f>(T2837-W2837)/T2837</f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>(T2838-W2838)/T2838</f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>AJ2838</f>
        <v>0</v>
      </c>
      <c r="AG2838" s="2">
        <v>102.39</v>
      </c>
      <c r="AJ2838" s="2">
        <f>AI2838*T2838</f>
        <v>0</v>
      </c>
      <c r="AK2838" s="2">
        <f>T2838-W2838</f>
        <v>113.55</v>
      </c>
      <c r="AL2838" s="5">
        <f>(T2838-W2838)/T2838</f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>(T2839-W2839)/T2839</f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>AJ2839</f>
        <v>0</v>
      </c>
      <c r="AG2839" s="2">
        <v>30.22</v>
      </c>
      <c r="AJ2839" s="2">
        <f>AI2839*T2839</f>
        <v>0</v>
      </c>
      <c r="AK2839" s="2">
        <f>T2839-W2839</f>
        <v>33.24</v>
      </c>
      <c r="AL2839" s="5">
        <f>(T2839-W2839)/T2839</f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>(T2840-W2840)/T2840</f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>AJ2840</f>
        <v>0</v>
      </c>
      <c r="AG2840" s="2">
        <v>342.22</v>
      </c>
      <c r="AJ2840" s="2">
        <f>AI2840*T2840</f>
        <v>0</v>
      </c>
      <c r="AK2840" s="2">
        <f>T2840-W2840</f>
        <v>354.09659999999997</v>
      </c>
      <c r="AL2840" s="5">
        <f>(T2840-W2840)/T2840</f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>(T2841-W2841)/T2841</f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>AJ2841</f>
        <v>0</v>
      </c>
      <c r="AG2841" s="2">
        <v>342.22</v>
      </c>
      <c r="AJ2841" s="2">
        <f>AI2841*T2841</f>
        <v>0</v>
      </c>
      <c r="AK2841" s="2">
        <f>T2841-W2841</f>
        <v>354.09659999999997</v>
      </c>
      <c r="AL2841" s="5">
        <f>(T2841-W2841)/T2841</f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>(T2842-W2842)/T2842</f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>AJ2842</f>
        <v>0</v>
      </c>
      <c r="AG2842" s="2">
        <v>343.38569999999999</v>
      </c>
      <c r="AJ2842" s="2">
        <f>AI2842*T2842</f>
        <v>0</v>
      </c>
      <c r="AK2842" s="2">
        <f>T2842-W2842</f>
        <v>355.72999999999996</v>
      </c>
      <c r="AL2842" s="5">
        <f>(T2842-W2842)/T2842</f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>(T2843-W2843)/T2843</f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>AJ2843</f>
        <v>0</v>
      </c>
      <c r="AG2843" s="2">
        <v>21.6</v>
      </c>
      <c r="AJ2843" s="2">
        <f>AI2843*T2843</f>
        <v>0</v>
      </c>
      <c r="AK2843" s="2">
        <f>T2843-W2843</f>
        <v>20.36</v>
      </c>
      <c r="AL2843" s="5">
        <f>(T2843-W2843)/T2843</f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>(T2844-W2844)/T2844</f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>AJ2844</f>
        <v>0</v>
      </c>
      <c r="AG2844" s="2">
        <v>565.755</v>
      </c>
      <c r="AJ2844" s="2">
        <f>AI2844*T2844</f>
        <v>0</v>
      </c>
      <c r="AK2844" s="2">
        <f>T2844-W2844</f>
        <v>2069.8145000000004</v>
      </c>
      <c r="AL2844" s="5">
        <f>(T2844-W2844)/T2844</f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>(T2845-W2845)/T2845</f>
        <v>0.52584528070923831</v>
      </c>
      <c r="Z2845" s="2" t="s">
        <v>118</v>
      </c>
      <c r="AF2845" s="2">
        <f>AJ2845</f>
        <v>0</v>
      </c>
      <c r="AG2845" s="2">
        <v>255.65</v>
      </c>
      <c r="AJ2845" s="2">
        <f>AI2845*T2845</f>
        <v>0</v>
      </c>
      <c r="AK2845" s="2">
        <f>T2845-W2845</f>
        <v>283.52</v>
      </c>
      <c r="AL2845" s="5">
        <f>(T2845-W2845)/T2845</f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>(T2846-W2846)/T2846</f>
        <v>1</v>
      </c>
      <c r="Z2846" s="2" t="s">
        <v>118</v>
      </c>
      <c r="AF2846" s="2">
        <f>AJ2846</f>
        <v>0</v>
      </c>
      <c r="AJ2846" s="2">
        <f>AI2846*T2846</f>
        <v>0</v>
      </c>
      <c r="AK2846" s="2">
        <f>T2846-W2846</f>
        <v>79.819999999999993</v>
      </c>
      <c r="AL2846" s="5">
        <f>(T2846-W2846)/T2846</f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>(T2847-W2847)/T2847</f>
        <v>1</v>
      </c>
      <c r="Z2847" s="2" t="s">
        <v>118</v>
      </c>
      <c r="AF2847" s="2">
        <f>AJ2847</f>
        <v>0</v>
      </c>
      <c r="AJ2847" s="2">
        <f>AI2847*T2847</f>
        <v>0</v>
      </c>
      <c r="AK2847" s="2">
        <f>T2847-W2847</f>
        <v>422.5</v>
      </c>
      <c r="AL2847" s="5">
        <f>(T2847-W2847)/T2847</f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>(T2848-W2848)/T2848</f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>AJ2848</f>
        <v>0</v>
      </c>
      <c r="AG2848" s="2">
        <v>343.38</v>
      </c>
      <c r="AH2848" s="2">
        <v>986.58</v>
      </c>
      <c r="AJ2848" s="2">
        <f>AI2848*T2848</f>
        <v>0</v>
      </c>
      <c r="AK2848" s="2">
        <f>T2848-W2848</f>
        <v>248.57000000000005</v>
      </c>
      <c r="AL2848" s="5">
        <f>(T2848-W2848)/T2848</f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>(T2849-W2849)/T2849</f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>AJ2849</f>
        <v>0</v>
      </c>
      <c r="AG2849" s="2">
        <v>343.38</v>
      </c>
      <c r="AH2849" s="2">
        <v>986.58</v>
      </c>
      <c r="AJ2849" s="2">
        <f>AI2849*T2849</f>
        <v>0</v>
      </c>
      <c r="AK2849" s="2">
        <f>T2849-W2849</f>
        <v>347.23</v>
      </c>
      <c r="AL2849" s="5">
        <f>(T2849-W2849)/T2849</f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>AJ2850</f>
        <v>0</v>
      </c>
      <c r="AG2850" s="2">
        <v>343.38</v>
      </c>
      <c r="AH2850" s="2">
        <v>986.58</v>
      </c>
      <c r="AJ2850" s="2">
        <f>AI2850*T2850</f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>AJ2851</f>
        <v>0</v>
      </c>
      <c r="AJ2851" s="2">
        <f>AI2851*T2851</f>
        <v>0</v>
      </c>
      <c r="AK2851" s="2">
        <f>T2851-W2851</f>
        <v>1601.8500000000001</v>
      </c>
      <c r="AL2851" s="5">
        <f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>(T2852-W2852)/T2852</f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>AJ2852</f>
        <v>0</v>
      </c>
      <c r="AJ2852" s="2">
        <f>AI2852*T2852</f>
        <v>0</v>
      </c>
      <c r="AK2852" s="2">
        <f>T2852-W2852</f>
        <v>558.98</v>
      </c>
      <c r="AL2852" s="5">
        <f>(T2852-W2852)/T2852</f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>(T2853-W2853)/T2853</f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>AJ2853</f>
        <v>0</v>
      </c>
      <c r="AG2853" s="2">
        <v>7437.5950000000003</v>
      </c>
      <c r="AJ2853" s="2">
        <f>AI2853*T2853</f>
        <v>0</v>
      </c>
      <c r="AK2853" s="2">
        <f>T2853-W2853</f>
        <v>692.48499999999967</v>
      </c>
      <c r="AL2853" s="5">
        <f>(T2853-W2853)/T2853</f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>(T2854-W2854)/T2854</f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>AJ2854</f>
        <v>0</v>
      </c>
      <c r="AJ2854" s="2">
        <f>AI2854*T2854</f>
        <v>0</v>
      </c>
      <c r="AK2854" s="2">
        <f>T2854-W2854</f>
        <v>4400.1200000000008</v>
      </c>
      <c r="AL2854" s="5">
        <f>(T2854-W2854)/T2854</f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>(T2855-W2855)/T2855</f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>AJ2855</f>
        <v>0</v>
      </c>
      <c r="AG2855" s="2">
        <v>10669.4</v>
      </c>
      <c r="AJ2855" s="2">
        <f>AI2855*T2855</f>
        <v>0</v>
      </c>
      <c r="AK2855" s="2">
        <f>T2855-W2855</f>
        <v>3336.2000000000007</v>
      </c>
      <c r="AL2855" s="5">
        <f>(T2855-W2855)/T2855</f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>(T2856-W2856)/T2856</f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>AJ2856</f>
        <v>0</v>
      </c>
      <c r="AG2856" s="2">
        <v>6468.73</v>
      </c>
      <c r="AJ2856" s="2">
        <f>AI2856*T2856</f>
        <v>0</v>
      </c>
      <c r="AK2856" s="2">
        <f>T2856-W2856</f>
        <v>1531.2700000000004</v>
      </c>
      <c r="AL2856" s="5">
        <f>(T2856-W2856)/T2856</f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>(T2857-W2857)/T2857</f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>AJ2857</f>
        <v>0</v>
      </c>
      <c r="AG2857" s="2">
        <f>6193.4+275.33</f>
        <v>6468.73</v>
      </c>
      <c r="AJ2857" s="2">
        <f>AI2857*T2857</f>
        <v>0</v>
      </c>
      <c r="AK2857" s="2">
        <f>T2857-W2857</f>
        <v>2461.2700000000004</v>
      </c>
      <c r="AL2857" s="5">
        <f>(T2857-W2857)/T2857</f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>(T2858-W2858)/T2858</f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>AJ2858</f>
        <v>0</v>
      </c>
      <c r="AG2858" s="2">
        <f>6193.4+275.33</f>
        <v>6468.73</v>
      </c>
      <c r="AJ2858" s="2">
        <f>AI2858*T2858</f>
        <v>0</v>
      </c>
      <c r="AK2858" s="2">
        <f>T2858-W2858</f>
        <v>3031.2700000000004</v>
      </c>
      <c r="AL2858" s="5">
        <f>(T2858-W2858)/T2858</f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>(T2859-W2859)/T2859</f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>AJ2859</f>
        <v>0</v>
      </c>
      <c r="AG2859" s="2">
        <v>203</v>
      </c>
      <c r="AJ2859" s="2">
        <f>AI2859*T2859</f>
        <v>0</v>
      </c>
      <c r="AK2859" s="2">
        <f>T2859-W2859</f>
        <v>897</v>
      </c>
      <c r="AL2859" s="5">
        <f>(T2859-W2859)/T2859</f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>(T2860-W2860)/T2860</f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>AJ2860</f>
        <v>0</v>
      </c>
      <c r="AG2860" s="2">
        <v>374.15</v>
      </c>
      <c r="AH2860" s="2">
        <v>662.51</v>
      </c>
      <c r="AJ2860" s="2">
        <f>AI2860*T2860</f>
        <v>0</v>
      </c>
      <c r="AK2860" s="2">
        <f>T2860-W2860</f>
        <v>215.85000000000002</v>
      </c>
      <c r="AL2860" s="5">
        <f>(T2860-W2860)/T2860</f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>(T2861-W2861)/T2861</f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>AJ2861</f>
        <v>0</v>
      </c>
      <c r="AG2861" s="2">
        <v>27.445</v>
      </c>
      <c r="AJ2861" s="2">
        <f>AI2861*T2861</f>
        <v>0</v>
      </c>
      <c r="AK2861" s="2">
        <f>T2861-W2861</f>
        <v>67.364999999999981</v>
      </c>
      <c r="AL2861" s="5">
        <f>(T2861-W2861)/T2861</f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>(T2862-W2862)/T2862</f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>AJ2862</f>
        <v>0</v>
      </c>
      <c r="AG2862" s="2">
        <v>6.5</v>
      </c>
      <c r="AH2862" s="2">
        <v>10</v>
      </c>
      <c r="AJ2862" s="2">
        <f>AI2862*T2862</f>
        <v>0</v>
      </c>
      <c r="AK2862" s="2">
        <f>T2862-W2862</f>
        <v>5.5</v>
      </c>
      <c r="AL2862" s="5">
        <f>(T2862-W2862)/T2862</f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>(T2863-W2863)/T2863</f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>AJ2863</f>
        <v>0</v>
      </c>
      <c r="AG2863" s="2">
        <v>297</v>
      </c>
      <c r="AH2863" s="2">
        <v>595</v>
      </c>
      <c r="AJ2863" s="2">
        <f>AI2863*T2863</f>
        <v>0</v>
      </c>
      <c r="AK2863" s="2">
        <f>T2863-W2863</f>
        <v>298</v>
      </c>
      <c r="AL2863" s="5">
        <f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>(T2864-W2864)/T2864</f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>AJ2864</f>
        <v>0</v>
      </c>
      <c r="AJ2864" s="2">
        <f>AI2864*T2864</f>
        <v>0</v>
      </c>
      <c r="AK2864" s="2">
        <f>T2864-W2864</f>
        <v>21.9604</v>
      </c>
      <c r="AL2864" s="5">
        <f>(T2864-W2864)/T2864</f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>(T2865-W2865)/T2865</f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>AJ2865</f>
        <v>0</v>
      </c>
      <c r="AJ2865" s="2">
        <f>AI2865*T2865</f>
        <v>0</v>
      </c>
      <c r="AK2865" s="2">
        <f>T2865-W2865</f>
        <v>109.80200000000002</v>
      </c>
      <c r="AL2865" s="5">
        <f>(T2865-W2865)/T2865</f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>(T2866-W2866)/T2866</f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>AJ2866</f>
        <v>0</v>
      </c>
      <c r="AJ2866" s="2">
        <f>AI2866*T2866</f>
        <v>0</v>
      </c>
      <c r="AK2866" s="2">
        <f>T2866-W2866</f>
        <v>109.80200000000002</v>
      </c>
      <c r="AL2866" s="5">
        <f>(T2866-W2866)/T2866</f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>(T2867-W2867)/T2867</f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>AJ2867</f>
        <v>0</v>
      </c>
      <c r="AJ2867" s="2">
        <f>AI2867*T2867</f>
        <v>0</v>
      </c>
      <c r="AK2867" s="2">
        <f>T2867-W2867</f>
        <v>109.80200000000002</v>
      </c>
      <c r="AL2867" s="5">
        <f>(T2867-W2867)/T2867</f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>(T2868-W2868)/T2868</f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>AJ2868</f>
        <v>0</v>
      </c>
      <c r="AG2868" s="2">
        <v>14.535</v>
      </c>
      <c r="AH2868" s="2">
        <v>25.2</v>
      </c>
      <c r="AJ2868" s="2">
        <f>AI2868*T2868</f>
        <v>0</v>
      </c>
      <c r="AK2868" s="2">
        <f>T2868-W2868</f>
        <v>10.664999999999999</v>
      </c>
      <c r="AL2868" s="5">
        <f>(T2868-W2868)/T2868</f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>(T2869-W2869)/T2869</f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>AJ2869</f>
        <v>0</v>
      </c>
      <c r="AG2869" s="2">
        <v>10</v>
      </c>
      <c r="AH2869" s="2">
        <v>21</v>
      </c>
      <c r="AJ2869" s="2">
        <f>AI2869*T2869</f>
        <v>0</v>
      </c>
      <c r="AK2869" s="2">
        <f>T2869-W2869</f>
        <v>8.6000000000000014</v>
      </c>
      <c r="AL2869" s="5">
        <f>(T2869-W2869)/T2869</f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>(T2870-W2870)/T2870</f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>AJ2870</f>
        <v>0</v>
      </c>
      <c r="AG2870" s="2">
        <v>9.3000000000000007</v>
      </c>
      <c r="AH2870" s="2">
        <v>21</v>
      </c>
      <c r="AJ2870" s="2">
        <f>AI2870*T2870</f>
        <v>0</v>
      </c>
      <c r="AK2870" s="2">
        <f>T2870-W2870</f>
        <v>-2.3000000000000007</v>
      </c>
      <c r="AL2870" s="5">
        <f>(T2870-W2870)/T2870</f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>(T2871-W2871)/T2871</f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>AJ2871</f>
        <v>0</v>
      </c>
      <c r="AG2871" s="2">
        <v>9.3000000000000007</v>
      </c>
      <c r="AH2871" s="2">
        <v>21</v>
      </c>
      <c r="AJ2871" s="2">
        <f>AI2871*T2871</f>
        <v>0</v>
      </c>
      <c r="AK2871" s="2">
        <f>T2871-W2871</f>
        <v>9.3000000000000007</v>
      </c>
      <c r="AL2871" s="5">
        <f>(T2871-W2871)/T2871</f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>(T2872-W2872)/T2872</f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>AJ2872</f>
        <v>0</v>
      </c>
      <c r="AG2872" s="2">
        <v>6.6266999999999996</v>
      </c>
      <c r="AH2872" s="2">
        <v>12</v>
      </c>
      <c r="AJ2872" s="2">
        <f>AI2872*T2872</f>
        <v>0</v>
      </c>
      <c r="AK2872" s="2">
        <f>T2872-W2872</f>
        <v>5.3733000000000004</v>
      </c>
      <c r="AL2872" s="5">
        <f>(T2872-W2872)/T2872</f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>(T2873-W2873)/T2873</f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>AJ2873</f>
        <v>0</v>
      </c>
      <c r="AG2873" s="2">
        <v>6.6266999999999996</v>
      </c>
      <c r="AH2873" s="2">
        <v>12</v>
      </c>
      <c r="AJ2873" s="2">
        <f>AI2873*T2873</f>
        <v>0</v>
      </c>
      <c r="AK2873" s="2">
        <f>T2873-W2873</f>
        <v>25.493200000000002</v>
      </c>
      <c r="AL2873" s="5">
        <f>(T2873-W2873)/T2873</f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>(T2874-W2874)/T2874</f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>AJ2874</f>
        <v>0</v>
      </c>
      <c r="AG2874" s="2">
        <v>6.6266999999999996</v>
      </c>
      <c r="AH2874" s="2">
        <v>12</v>
      </c>
      <c r="AJ2874" s="2">
        <f>AI2874*T2874</f>
        <v>0</v>
      </c>
      <c r="AK2874" s="2">
        <f>T2874-W2874</f>
        <v>12.746600000000001</v>
      </c>
      <c r="AL2874" s="5">
        <f>(T2874-W2874)/T2874</f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>(T2875-W2875)/T2875</f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>AJ2875</f>
        <v>0</v>
      </c>
      <c r="AJ2875" s="2">
        <f>AI2875*T2875</f>
        <v>0</v>
      </c>
      <c r="AK2875" s="2">
        <f>T2875-W2875</f>
        <v>36.9</v>
      </c>
      <c r="AL2875" s="5">
        <f>(T2875-W2875)/T2875</f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>(T2876-W2876)/T2876</f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>AJ2876</f>
        <v>0</v>
      </c>
      <c r="AJ2876" s="2">
        <f>AI2876*T2876</f>
        <v>0</v>
      </c>
      <c r="AK2876" s="2">
        <f>T2876-W2876</f>
        <v>37.409999999999997</v>
      </c>
      <c r="AL2876" s="5">
        <f>(T2876-W2876)/T2876</f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>(T2877-W2877)/T2877</f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>AJ2877</f>
        <v>0</v>
      </c>
      <c r="AG2877" s="2">
        <v>3.7357999999999998</v>
      </c>
      <c r="AH2877" s="2">
        <v>9</v>
      </c>
      <c r="AJ2877" s="2">
        <f>AI2877*T2877</f>
        <v>0</v>
      </c>
      <c r="AK2877" s="2">
        <f>T2877-W2877</f>
        <v>0.76420000000000021</v>
      </c>
      <c r="AL2877" s="5">
        <f>(T2877-W2877)/T2877</f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>(T2878-W2878)/T2878</f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>AJ2878</f>
        <v>0</v>
      </c>
      <c r="AJ2878" s="2">
        <f>AI2878*T2878</f>
        <v>0</v>
      </c>
      <c r="AK2878" s="2">
        <f>T2878-W2878</f>
        <v>7.3649999999999984</v>
      </c>
      <c r="AL2878" s="5">
        <f>(T2878-W2878)/T2878</f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>(T2879-W2879)/T2879</f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>AJ2879</f>
        <v>0</v>
      </c>
      <c r="AJ2879" s="2">
        <f>AI2879*T2879</f>
        <v>0</v>
      </c>
      <c r="AK2879" s="2">
        <f>T2879-W2879</f>
        <v>8.5565999999999995</v>
      </c>
      <c r="AL2879" s="5">
        <f>(T2879-W2879)/T2879</f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>(T2880-W2880)/T2880</f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>AJ2880</f>
        <v>0</v>
      </c>
      <c r="AJ2880" s="2">
        <f>AI2880*T2880</f>
        <v>0</v>
      </c>
      <c r="AK2880" s="2">
        <f>T2880-W2880</f>
        <v>12</v>
      </c>
      <c r="AL2880" s="5">
        <f>(T2880-W2880)/T2880</f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>(T2881-W2881)/T2881</f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>AJ2881</f>
        <v>0</v>
      </c>
      <c r="AG2881" s="2">
        <v>5.9066999999999998</v>
      </c>
      <c r="AH2881" s="2">
        <v>12.6</v>
      </c>
      <c r="AJ2881" s="2">
        <f>AI2881*T2881</f>
        <v>0</v>
      </c>
      <c r="AK2881" s="2">
        <f>T2881-W2881</f>
        <v>13.3866</v>
      </c>
      <c r="AL2881" s="5">
        <f>(T2881-W2881)/T2881</f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>(T2882-W2882)/T2882</f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>AJ2882</f>
        <v>0</v>
      </c>
      <c r="AG2882" s="2">
        <v>5.9066999999999998</v>
      </c>
      <c r="AH2882" s="2">
        <v>12.6</v>
      </c>
      <c r="AJ2882" s="2">
        <f>AI2882*T2882</f>
        <v>0</v>
      </c>
      <c r="AK2882" s="2">
        <f>T2882-W2882</f>
        <v>27.166500000000003</v>
      </c>
      <c r="AL2882" s="5">
        <f>(T2882-W2882)/T2882</f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>AJ2883</f>
        <v>0</v>
      </c>
      <c r="AG2883" s="2">
        <v>5.9066999999999998</v>
      </c>
      <c r="AH2883" s="2">
        <v>12.6</v>
      </c>
      <c r="AJ2883" s="2">
        <f>AI2883*T2883</f>
        <v>0</v>
      </c>
      <c r="AK2883" s="2">
        <f>T2883-W2883</f>
        <v>13.3866</v>
      </c>
      <c r="AL2883" s="5">
        <f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>(T2884-W2884)/T2884</f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>AJ2884</f>
        <v>0</v>
      </c>
      <c r="AG2884" s="2">
        <v>7.2217000000000002</v>
      </c>
      <c r="AH2884" s="2">
        <v>14.4</v>
      </c>
      <c r="AJ2884" s="2">
        <f>AI2884*T2884</f>
        <v>0</v>
      </c>
      <c r="AK2884" s="2">
        <f>T2884-W2884</f>
        <v>14.3566</v>
      </c>
      <c r="AL2884" s="5">
        <f>(T2884-W2884)/T2884</f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>(T2885-W2885)/T2885</f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>AJ2885</f>
        <v>0</v>
      </c>
      <c r="AG2885" s="2">
        <v>7.2217000000000002</v>
      </c>
      <c r="AH2885" s="2">
        <v>14.4</v>
      </c>
      <c r="AJ2885" s="2">
        <f>AI2885*T2885</f>
        <v>0</v>
      </c>
      <c r="AK2885" s="2">
        <f>T2885-W2885</f>
        <v>14.3566</v>
      </c>
      <c r="AL2885" s="5">
        <f>(T2885-W2885)/T2885</f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>(T2886-W2886)/T2886</f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>AJ2886</f>
        <v>0</v>
      </c>
      <c r="AJ2886" s="2">
        <f>AI2886*T2886</f>
        <v>0</v>
      </c>
      <c r="AK2886" s="2">
        <f>T2886-W2886</f>
        <v>16.649999999999999</v>
      </c>
      <c r="AL2886" s="5">
        <f>(T2886-W2886)/T2886</f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>(T2887-W2887)/T2887</f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>AJ2887</f>
        <v>0</v>
      </c>
      <c r="AG2887" s="2">
        <v>9.0749999999999993</v>
      </c>
      <c r="AJ2887" s="2">
        <f>AI2887*T2887</f>
        <v>0</v>
      </c>
      <c r="AK2887" s="2">
        <f>T2887-W2887</f>
        <v>85.65</v>
      </c>
      <c r="AL2887" s="5">
        <f>(T2887-W2887)/T2887</f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>(T2888-W2888)/T2888</f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>AJ2888</f>
        <v>0</v>
      </c>
      <c r="AJ2888" s="2">
        <f>AI2888*T2888</f>
        <v>0</v>
      </c>
      <c r="AK2888" s="2">
        <f>T2888-W2888</f>
        <v>16.649999999999999</v>
      </c>
      <c r="AL2888" s="5">
        <f>(T2888-W2888)/T2888</f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>(T2889-W2889)/T2889</f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>AJ2889</f>
        <v>0</v>
      </c>
      <c r="AJ2889" s="2">
        <f>AI2889*T2889</f>
        <v>0</v>
      </c>
      <c r="AK2889" s="2">
        <f>T2889-W2889</f>
        <v>42</v>
      </c>
      <c r="AL2889" s="5">
        <f>(T2889-W2889)/T2889</f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>(T2890-W2890)/T2890</f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>AJ2890</f>
        <v>0</v>
      </c>
      <c r="AG2890" s="2">
        <v>11.045</v>
      </c>
      <c r="AJ2890" s="2">
        <f>AI2890*T2890</f>
        <v>0</v>
      </c>
      <c r="AK2890" s="2">
        <f>T2890-W2890</f>
        <v>41.74</v>
      </c>
      <c r="AL2890" s="5">
        <f>(T2890-W2890)/T2890</f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>(T2891-W2891)/T2891</f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>AJ2891</f>
        <v>0</v>
      </c>
      <c r="AJ2891" s="2">
        <f>AI2891*T2891</f>
        <v>0</v>
      </c>
      <c r="AK2891" s="2">
        <f>T2891-W2891</f>
        <v>21</v>
      </c>
      <c r="AL2891" s="5">
        <f>(T2891-W2891)/T2891</f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>(T2892-W2892)/T2892</f>
        <v>0.4679880952380952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>AJ2892</f>
        <v>0</v>
      </c>
      <c r="AJ2892" s="2">
        <f>AI2892*T2892</f>
        <v>0</v>
      </c>
      <c r="AK2892" s="2">
        <f>T2892-W2892</f>
        <v>23.586599999999997</v>
      </c>
      <c r="AL2892" s="5">
        <f>(T2892-W2892)/T2892</f>
        <v>0.4679880952380952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>(T2893-W2893)/T2893</f>
        <v>0.45916999999999997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>AJ2893</f>
        <v>0</v>
      </c>
      <c r="AJ2893" s="2">
        <f>AI2893*T2893</f>
        <v>0</v>
      </c>
      <c r="AK2893" s="2">
        <f>T2893-W2893</f>
        <v>27.550199999999997</v>
      </c>
      <c r="AL2893" s="5">
        <f>(T2893-W2893)/T2893</f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>10.6*S2894</f>
        <v>127.19999999999999</v>
      </c>
      <c r="X2894" s="5">
        <f>(T2894-W2894)/T2894</f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>AJ2894</f>
        <v>0</v>
      </c>
      <c r="AG2894" s="2">
        <v>10.6</v>
      </c>
      <c r="AH2894" s="2">
        <v>18</v>
      </c>
      <c r="AJ2894" s="2">
        <f>AI2894*T2894</f>
        <v>0</v>
      </c>
      <c r="AK2894" s="2">
        <f>T2894-W2894</f>
        <v>13.800000000000011</v>
      </c>
      <c r="AL2894" s="5">
        <f>(T2894-W2894)/T2894</f>
        <v>9.7872340425532001E-2</v>
      </c>
    </row>
    <row r="2895" spans="1:38" x14ac:dyDescent="0.2">
      <c r="A2895" s="2">
        <v>2026</v>
      </c>
      <c r="B2895" s="2">
        <v>1</v>
      </c>
      <c r="C2895" s="2" t="s">
        <v>3478</v>
      </c>
      <c r="D2895" s="2" t="s">
        <v>941</v>
      </c>
      <c r="E2895" s="2" t="s">
        <v>38</v>
      </c>
      <c r="F2895" s="2" t="s">
        <v>39</v>
      </c>
      <c r="L2895" s="2" t="s">
        <v>100</v>
      </c>
      <c r="M2895" s="2" t="s">
        <v>81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>10.6*S2895</f>
        <v>21.2</v>
      </c>
      <c r="X2895" s="5">
        <f>(T2895-W2895)/T2895</f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>AJ2895</f>
        <v>0</v>
      </c>
      <c r="AG2895" s="2">
        <v>10.6</v>
      </c>
      <c r="AH2895" s="2">
        <v>18</v>
      </c>
      <c r="AJ2895" s="2">
        <f>AI2895*T2895</f>
        <v>0</v>
      </c>
      <c r="AK2895" s="2">
        <f>T2895-W2895</f>
        <v>14.8</v>
      </c>
      <c r="AL2895" s="5">
        <f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>10.6*S2896</f>
        <v>21.2</v>
      </c>
      <c r="X2896" s="5">
        <f>(T2896-W2896)/T2896</f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>AJ2896</f>
        <v>0</v>
      </c>
      <c r="AG2896" s="2">
        <v>10.6</v>
      </c>
      <c r="AH2896" s="2">
        <v>18</v>
      </c>
      <c r="AJ2896" s="2">
        <f>AI2896*T2896</f>
        <v>0</v>
      </c>
      <c r="AK2896" s="2">
        <f>T2896-W2896</f>
        <v>14.8</v>
      </c>
      <c r="AL2896" s="5">
        <f>(T2896-W2896)/T2896</f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>10.6*S2897</f>
        <v>21.2</v>
      </c>
      <c r="X2897" s="5">
        <f>(T2897-W2897)/T2897</f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>AJ2897</f>
        <v>0</v>
      </c>
      <c r="AG2897" s="2">
        <v>10.6</v>
      </c>
      <c r="AH2897" s="2">
        <v>18</v>
      </c>
      <c r="AJ2897" s="2">
        <f>AI2897*T2897</f>
        <v>0</v>
      </c>
      <c r="AK2897" s="2">
        <f>T2897-W2897</f>
        <v>14.8</v>
      </c>
      <c r="AL2897" s="5">
        <f>(T2897-W2897)/T2897</f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>10.6*S2898</f>
        <v>31.799999999999997</v>
      </c>
      <c r="X2898" s="5">
        <f>(T2898-W2898)/T2898</f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>AJ2898</f>
        <v>0</v>
      </c>
      <c r="AG2898" s="2">
        <v>10.6</v>
      </c>
      <c r="AH2898" s="2">
        <v>18</v>
      </c>
      <c r="AJ2898" s="2">
        <f>AI2898*T2898</f>
        <v>0</v>
      </c>
      <c r="AK2898" s="2">
        <f>T2898-W2898</f>
        <v>22.200000000000003</v>
      </c>
      <c r="AL2898" s="5">
        <f>(T2898-W2898)/T2898</f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>10.6*S2899</f>
        <v>53</v>
      </c>
      <c r="X2899" s="5">
        <f>(T2899-W2899)/T2899</f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>AJ2899</f>
        <v>0</v>
      </c>
      <c r="AG2899" s="2">
        <v>10.6</v>
      </c>
      <c r="AH2899" s="2">
        <v>18</v>
      </c>
      <c r="AJ2899" s="2">
        <f>AI2899*T2899</f>
        <v>0</v>
      </c>
      <c r="AK2899" s="2">
        <f>T2899-W2899</f>
        <v>37</v>
      </c>
      <c r="AL2899" s="5">
        <f>(T2899-W2899)/T2899</f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>10.6*S2900</f>
        <v>42.4</v>
      </c>
      <c r="X2900" s="5">
        <f>(T2900-W2900)/T2900</f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>AJ2900</f>
        <v>0</v>
      </c>
      <c r="AG2900" s="2">
        <v>10.6</v>
      </c>
      <c r="AH2900" s="2">
        <v>18</v>
      </c>
      <c r="AJ2900" s="2">
        <f>AI2900*T2900</f>
        <v>0</v>
      </c>
      <c r="AK2900" s="2">
        <f>T2900-W2900</f>
        <v>29.6</v>
      </c>
      <c r="AL2900" s="5">
        <f>(T2900-W2900)/T2900</f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>10.6*S2901</f>
        <v>10.6</v>
      </c>
      <c r="X2901" s="5">
        <f>(T2901-W2901)/T2901</f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>AJ2901</f>
        <v>0</v>
      </c>
      <c r="AG2901" s="2">
        <v>10.6</v>
      </c>
      <c r="AH2901" s="2">
        <v>18</v>
      </c>
      <c r="AJ2901" s="2">
        <f>AI2901*T2901</f>
        <v>0</v>
      </c>
      <c r="AK2901" s="2">
        <f>T2901-W2901</f>
        <v>7.4</v>
      </c>
      <c r="AL2901" s="5">
        <f>(T2901-W2901)/T2901</f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>10.6*S2902</f>
        <v>10.6</v>
      </c>
      <c r="X2902" s="5">
        <f>(T2902-W2902)/T2902</f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>AJ2902</f>
        <v>0</v>
      </c>
      <c r="AG2902" s="2">
        <v>10.6</v>
      </c>
      <c r="AH2902" s="2">
        <v>18</v>
      </c>
      <c r="AJ2902" s="2">
        <f>AI2902*T2902</f>
        <v>0</v>
      </c>
      <c r="AK2902" s="2">
        <f>T2902-W2902</f>
        <v>7.4</v>
      </c>
      <c r="AL2902" s="5">
        <f>(T2902-W2902)/T2902</f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>10.6*S2903</f>
        <v>21.2</v>
      </c>
      <c r="X2903" s="5">
        <f>(T2903-W2903)/T2903</f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>AJ2903</f>
        <v>0</v>
      </c>
      <c r="AG2903" s="2">
        <v>10.6</v>
      </c>
      <c r="AH2903" s="2">
        <v>18</v>
      </c>
      <c r="AJ2903" s="2">
        <f>AI2903*T2903</f>
        <v>0</v>
      </c>
      <c r="AK2903" s="2">
        <f>T2903-W2903</f>
        <v>14.8</v>
      </c>
      <c r="AL2903" s="5">
        <f>(T2903-W2903)/T2903</f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>10.6*S2904</f>
        <v>106</v>
      </c>
      <c r="X2904" s="5">
        <f>(T2904-W2904)/T2904</f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>AJ2904</f>
        <v>0</v>
      </c>
      <c r="AG2904" s="2">
        <v>10.6</v>
      </c>
      <c r="AH2904" s="2">
        <v>18</v>
      </c>
      <c r="AJ2904" s="2">
        <f>AI2904*T2904</f>
        <v>0</v>
      </c>
      <c r="AK2904" s="2">
        <f>T2904-W2904</f>
        <v>44</v>
      </c>
      <c r="AL2904" s="5">
        <f>(T2904-W2904)/T2904</f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>10.6*S2905</f>
        <v>31.799999999999997</v>
      </c>
      <c r="X2905" s="5">
        <f>(T2905-W2905)/T2905</f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>AJ2905</f>
        <v>0</v>
      </c>
      <c r="AG2905" s="2">
        <v>10.6</v>
      </c>
      <c r="AH2905" s="2">
        <v>18</v>
      </c>
      <c r="AJ2905" s="2">
        <f>AI2905*T2905</f>
        <v>0</v>
      </c>
      <c r="AK2905" s="2">
        <f>T2905-W2905</f>
        <v>22.200000000000003</v>
      </c>
      <c r="AL2905" s="5">
        <f>(T2905-W2905)/T2905</f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>10.6*S2906</f>
        <v>212</v>
      </c>
      <c r="X2906" s="5">
        <f>(T2906-W2906)/T2906</f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>AJ2906</f>
        <v>0</v>
      </c>
      <c r="AG2906" s="2">
        <v>10.6</v>
      </c>
      <c r="AH2906" s="2">
        <v>18</v>
      </c>
      <c r="AJ2906" s="2">
        <f>AI2906*T2906</f>
        <v>0</v>
      </c>
      <c r="AK2906" s="2">
        <f>T2906-W2906</f>
        <v>68</v>
      </c>
      <c r="AL2906" s="5">
        <f>(T2906-W2906)/T2906</f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>10.6*S2907</f>
        <v>106</v>
      </c>
      <c r="X2907" s="5">
        <f>(T2907-W2907)/T2907</f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>AJ2907</f>
        <v>0</v>
      </c>
      <c r="AG2907" s="2">
        <v>10.6</v>
      </c>
      <c r="AH2907" s="2">
        <v>18</v>
      </c>
      <c r="AJ2907" s="2">
        <f>AI2907*T2907</f>
        <v>0</v>
      </c>
      <c r="AK2907" s="2">
        <f>T2907-W2907</f>
        <v>34</v>
      </c>
      <c r="AL2907" s="5">
        <f>(T2907-W2907)/T2907</f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>10.6*S2908</f>
        <v>42.4</v>
      </c>
      <c r="X2908" s="5">
        <f>(T2908-W2908)/T2908</f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>AJ2908</f>
        <v>0</v>
      </c>
      <c r="AG2908" s="2">
        <v>10.6</v>
      </c>
      <c r="AH2908" s="2">
        <v>18</v>
      </c>
      <c r="AJ2908" s="2">
        <f>AI2908*T2908</f>
        <v>0</v>
      </c>
      <c r="AK2908" s="2">
        <f>T2908-W2908</f>
        <v>25.6</v>
      </c>
      <c r="AL2908" s="5">
        <f>(T2908-W2908)/T2908</f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>10.6*S2909</f>
        <v>21.2</v>
      </c>
      <c r="X2909" s="5">
        <f>(T2909-W2909)/T2909</f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>AJ2909</f>
        <v>0</v>
      </c>
      <c r="AG2909" s="2">
        <v>10.6</v>
      </c>
      <c r="AH2909" s="2">
        <v>18</v>
      </c>
      <c r="AJ2909" s="2">
        <f>AI2909*T2909</f>
        <v>0</v>
      </c>
      <c r="AK2909" s="2">
        <f>T2909-W2909</f>
        <v>14.8</v>
      </c>
      <c r="AL2909" s="5">
        <f>(T2909-W2909)/T2909</f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>10.6*S2910</f>
        <v>21.2</v>
      </c>
      <c r="X2910" s="5">
        <f>(T2910-W2910)/T2910</f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>AJ2910</f>
        <v>0</v>
      </c>
      <c r="AG2910" s="2">
        <v>10.6</v>
      </c>
      <c r="AH2910" s="2">
        <v>18</v>
      </c>
      <c r="AJ2910" s="2">
        <f>AI2910*T2910</f>
        <v>0</v>
      </c>
      <c r="AK2910" s="2">
        <f>T2910-W2910</f>
        <v>14.8</v>
      </c>
      <c r="AL2910" s="5">
        <f>(T2910-W2910)/T2910</f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1103</v>
      </c>
      <c r="J2911" s="2" t="s">
        <v>1104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>(T2911-W2911)/T2911</f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>AJ2911</f>
        <v>0</v>
      </c>
      <c r="AJ2911" s="2">
        <f>AI2911*T2911</f>
        <v>0</v>
      </c>
      <c r="AK2911" s="2">
        <f>T2911-W2911</f>
        <v>34.904200000000003</v>
      </c>
      <c r="AL2911" s="5">
        <f>(T2911-W2911)/T2911</f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>(T2912-W2912)/T2912</f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>AJ2912</f>
        <v>0</v>
      </c>
      <c r="AG2912" s="2">
        <v>29.27</v>
      </c>
      <c r="AH2912" s="2">
        <v>60</v>
      </c>
      <c r="AJ2912" s="2">
        <f>AI2912*T2912</f>
        <v>0</v>
      </c>
      <c r="AK2912" s="2">
        <f>T2912-W2912</f>
        <v>30.73</v>
      </c>
      <c r="AL2912" s="5">
        <f>(T2912-W2912)/T2912</f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>(T2913-W2913)/T2913</f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>AJ2913</f>
        <v>0</v>
      </c>
      <c r="AG2913" s="2">
        <v>9.14</v>
      </c>
      <c r="AH2913" s="2">
        <v>16</v>
      </c>
      <c r="AJ2913" s="2">
        <f>AI2913*T2913</f>
        <v>0</v>
      </c>
      <c r="AK2913" s="2">
        <f>T2913-W2913</f>
        <v>38.600000000000009</v>
      </c>
      <c r="AL2913" s="5">
        <f>(T2913-W2913)/T2913</f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1103</v>
      </c>
      <c r="J2914" s="2" t="s">
        <v>1104</v>
      </c>
      <c r="L2914" s="2" t="s">
        <v>178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>(T2914-W2914)/T2914</f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>AJ2914</f>
        <v>0</v>
      </c>
      <c r="AG2914" s="2">
        <v>9.14</v>
      </c>
      <c r="AH2914" s="2">
        <v>16</v>
      </c>
      <c r="AJ2914" s="2">
        <f>AI2914*T2914</f>
        <v>0</v>
      </c>
      <c r="AK2914" s="2">
        <f>T2914-W2914</f>
        <v>3.8600000000000012</v>
      </c>
      <c r="AL2914" s="5">
        <f>(T2914-W2914)/T2914</f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>AJ2915</f>
        <v>0</v>
      </c>
      <c r="AG2915" s="2">
        <v>9.14</v>
      </c>
      <c r="AH2915" s="2">
        <v>16</v>
      </c>
      <c r="AJ2915" s="2">
        <f>AI2915*T2915</f>
        <v>0</v>
      </c>
      <c r="AK2915" s="2">
        <f>T2915-W2915</f>
        <v>3.8600000000000012</v>
      </c>
      <c r="AL2915" s="5">
        <f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>0.082*S2916</f>
        <v>98.4</v>
      </c>
      <c r="X2916" s="5">
        <f>(T2916-W2916)/T2916</f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>AJ2916</f>
        <v>0</v>
      </c>
      <c r="AG2916" s="2">
        <v>8.1999999999999993</v>
      </c>
      <c r="AH2916" s="2">
        <v>13</v>
      </c>
      <c r="AJ2916" s="2">
        <f>AI2916*T2916</f>
        <v>0</v>
      </c>
      <c r="AK2916" s="2">
        <f>T2916-W2916</f>
        <v>24.599999999999994</v>
      </c>
      <c r="AL2916" s="5">
        <f>(T2916-W2916)/T2916</f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>0.082*S2917</f>
        <v>8.2000000000000011</v>
      </c>
      <c r="X2917" s="5">
        <f>(T2917-W2917)/T2917</f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>AJ2917</f>
        <v>0</v>
      </c>
      <c r="AG2917" s="2">
        <v>8.1999999999999993</v>
      </c>
      <c r="AH2917" s="2">
        <v>13</v>
      </c>
      <c r="AJ2917" s="2">
        <f>AI2917*T2917</f>
        <v>0</v>
      </c>
      <c r="AK2917" s="2">
        <f>T2917-W2917</f>
        <v>4.7999999999999989</v>
      </c>
      <c r="AL2917" s="5">
        <f>(T2917-W2917)/T2917</f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>0.082*S2918</f>
        <v>82</v>
      </c>
      <c r="X2918" s="5">
        <f>(T2918-W2918)/T2918</f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>AJ2918</f>
        <v>0</v>
      </c>
      <c r="AG2918" s="2">
        <v>8.1999999999999993</v>
      </c>
      <c r="AH2918" s="2">
        <v>13</v>
      </c>
      <c r="AJ2918" s="2">
        <f>AI2918*T2918</f>
        <v>0</v>
      </c>
      <c r="AK2918" s="2">
        <f>T2918-W2918</f>
        <v>28</v>
      </c>
      <c r="AL2918" s="5">
        <f>(T2918-W2918)/T2918</f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>0.082*S2919</f>
        <v>8.2000000000000011</v>
      </c>
      <c r="X2919" s="5">
        <f>(T2919-W2919)/T2919</f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>AJ2919</f>
        <v>0</v>
      </c>
      <c r="AG2919" s="2">
        <v>8.1999999999999993</v>
      </c>
      <c r="AH2919" s="2">
        <v>13</v>
      </c>
      <c r="AJ2919" s="2">
        <f>AI2919*T2919</f>
        <v>0</v>
      </c>
      <c r="AK2919" s="2">
        <f>T2919-W2919</f>
        <v>4.7999999999999989</v>
      </c>
      <c r="AL2919" s="5">
        <f>(T2919-W2919)/T2919</f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>0.082*S2920</f>
        <v>24.6</v>
      </c>
      <c r="X2920" s="5">
        <f>(T2920-W2920)/T2920</f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>AJ2920</f>
        <v>0</v>
      </c>
      <c r="AG2920" s="2">
        <v>8.1999999999999993</v>
      </c>
      <c r="AH2920" s="2">
        <v>13</v>
      </c>
      <c r="AJ2920" s="2">
        <f>AI2920*T2920</f>
        <v>0</v>
      </c>
      <c r="AK2920" s="2">
        <f>T2920-W2920</f>
        <v>14.399999999999999</v>
      </c>
      <c r="AL2920" s="5">
        <f>(T2920-W2920)/T2920</f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>0.082*S2921</f>
        <v>8.2000000000000011</v>
      </c>
      <c r="X2921" s="5">
        <f>(T2921-W2921)/T2921</f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>AJ2921</f>
        <v>0</v>
      </c>
      <c r="AG2921" s="2">
        <v>8.1999999999999993</v>
      </c>
      <c r="AH2921" s="2">
        <v>13</v>
      </c>
      <c r="AJ2921" s="2">
        <f>AI2921*T2921</f>
        <v>0</v>
      </c>
      <c r="AK2921" s="2">
        <f>T2921-W2921</f>
        <v>4.7999999999999989</v>
      </c>
      <c r="AL2921" s="5">
        <f>(T2921-W2921)/T2921</f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1103</v>
      </c>
      <c r="J2922" s="2" t="s">
        <v>1104</v>
      </c>
      <c r="L2922" s="2" t="s">
        <v>178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>0.082*S2922</f>
        <v>82</v>
      </c>
      <c r="X2922" s="5">
        <f>(T2922-W2922)/T2922</f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>AJ2922</f>
        <v>0</v>
      </c>
      <c r="AG2922" s="2">
        <v>8.1999999999999993</v>
      </c>
      <c r="AH2922" s="2">
        <v>13</v>
      </c>
      <c r="AJ2922" s="2">
        <f>AI2922*T2922</f>
        <v>0</v>
      </c>
      <c r="AK2922" s="2">
        <f>T2922-W2922</f>
        <v>28</v>
      </c>
      <c r="AL2922" s="5">
        <f>(T2922-W2922)/T2922</f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>0.082*S2923</f>
        <v>41</v>
      </c>
      <c r="X2923" s="5">
        <f>(T2923-W2923)/T2923</f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>AJ2923</f>
        <v>0</v>
      </c>
      <c r="AG2923" s="2">
        <v>8.1999999999999993</v>
      </c>
      <c r="AH2923" s="2">
        <v>13</v>
      </c>
      <c r="AJ2923" s="2">
        <f>AI2923*T2923</f>
        <v>0</v>
      </c>
      <c r="AK2923" s="2">
        <f>T2923-W2923</f>
        <v>19</v>
      </c>
      <c r="AL2923" s="5">
        <f>(T2923-W2923)/T2923</f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>0.082*S2924</f>
        <v>82</v>
      </c>
      <c r="X2924" s="5">
        <f>(T2924-W2924)/T2924</f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>AJ2924</f>
        <v>0</v>
      </c>
      <c r="AG2924" s="2">
        <v>8.1999999999999993</v>
      </c>
      <c r="AH2924" s="2">
        <v>13</v>
      </c>
      <c r="AJ2924" s="2">
        <f>AI2924*T2924</f>
        <v>0</v>
      </c>
      <c r="AK2924" s="2">
        <f>T2924-W2924</f>
        <v>28</v>
      </c>
      <c r="AL2924" s="5">
        <f>(T2924-W2924)/T2924</f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>(T2925-W2925)/T2925</f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>AJ2925</f>
        <v>0</v>
      </c>
      <c r="AJ2925" s="2">
        <f>AI2925*T2925</f>
        <v>0</v>
      </c>
      <c r="AK2925" s="2">
        <f>T2925-W2925</f>
        <v>21</v>
      </c>
      <c r="AL2925" s="5">
        <f>(T2925-W2925)/T2925</f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>(T2926-W2926)/T2926</f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>AJ2926</f>
        <v>0</v>
      </c>
      <c r="AG2926" s="2">
        <v>3.7555999999999998</v>
      </c>
      <c r="AH2926" s="2">
        <v>7.2</v>
      </c>
      <c r="AJ2926" s="2">
        <f>AI2926*T2926</f>
        <v>0</v>
      </c>
      <c r="AK2926" s="2">
        <f>T2926-W2926</f>
        <v>94.487600000000015</v>
      </c>
      <c r="AL2926" s="5">
        <f>(T2926-W2926)/T2926</f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>(T2927-W2927)/T2927</f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>AJ2927</f>
        <v>0</v>
      </c>
      <c r="AG2927" s="2">
        <v>1.4114</v>
      </c>
      <c r="AH2927" s="2">
        <v>3</v>
      </c>
      <c r="AJ2927" s="2">
        <f>AI2927*T2927</f>
        <v>0</v>
      </c>
      <c r="AK2927" s="2">
        <f>T2927-W2927</f>
        <v>7.9087999999999994</v>
      </c>
      <c r="AL2927" s="5">
        <f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>(T2928-W2928)/T2928</f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>AJ2928</f>
        <v>0</v>
      </c>
      <c r="AJ2928" s="2">
        <f>AI2928*T2928</f>
        <v>0</v>
      </c>
      <c r="AK2928" s="2">
        <f>T2928-W2928</f>
        <v>60</v>
      </c>
      <c r="AL2928" s="5">
        <f>(T2928-W2928)/T2928</f>
        <v>1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>(T2929-W2929)/T2929</f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>AJ2929</f>
        <v>0</v>
      </c>
      <c r="AJ2929" s="2">
        <f>AI2929*T2929</f>
        <v>0</v>
      </c>
      <c r="AK2929" s="2">
        <f>T2929-W2929</f>
        <v>150</v>
      </c>
      <c r="AL2929" s="5">
        <f>(T2929-W2929)/T2929</f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>(T2930-W2930)/T2930</f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>AJ2930</f>
        <v>0</v>
      </c>
      <c r="AJ2930" s="2">
        <f>AI2930*T2930</f>
        <v>0</v>
      </c>
      <c r="AK2930" s="2">
        <f>T2930-W2930</f>
        <v>207.07439999999997</v>
      </c>
      <c r="AL2930" s="5">
        <f>(T2930-W2930)/T2930</f>
        <v>0.31955925925925921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>(T2931-W2931)/T2931</f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>AJ2931</f>
        <v>0</v>
      </c>
      <c r="AJ2931" s="2">
        <f>AI2931*T2931</f>
        <v>0</v>
      </c>
      <c r="AK2931" s="2">
        <f>T2931-W2931</f>
        <v>216</v>
      </c>
      <c r="AL2931" s="5">
        <f>(T2931-W2931)/T2931</f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>(T2932-W2932)/T2932</f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>AJ2932</f>
        <v>0</v>
      </c>
      <c r="AG2932" s="2">
        <v>7.9611999999999998</v>
      </c>
      <c r="AH2932" s="2">
        <v>14.4</v>
      </c>
      <c r="AJ2932" s="2">
        <f>AI2932*T2932</f>
        <v>0</v>
      </c>
      <c r="AK2932" s="2">
        <f>T2932-W2932</f>
        <v>72.476800000000011</v>
      </c>
      <c r="AL2932" s="5">
        <f>(T2932-W2932)/T2932</f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>(T2933-W2933)/T2933</f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>AJ2933</f>
        <v>0</v>
      </c>
      <c r="AG2933" s="2">
        <v>7.9611999999999998</v>
      </c>
      <c r="AH2933" s="2">
        <v>14.4</v>
      </c>
      <c r="AJ2933" s="2">
        <f>AI2933*T2933</f>
        <v>0</v>
      </c>
      <c r="AK2933" s="2">
        <f>T2933-W2933</f>
        <v>6.5388000000000002</v>
      </c>
      <c r="AL2933" s="5">
        <f>(T2933-W2933)/T2933</f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>(T2934-W2934)/T2934</f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>AJ2934</f>
        <v>0</v>
      </c>
      <c r="AG2934" s="2">
        <v>15.020300000000001</v>
      </c>
      <c r="AH2934" s="2">
        <v>27.6</v>
      </c>
      <c r="AJ2934" s="2">
        <f>AI2934*T2934</f>
        <v>0</v>
      </c>
      <c r="AK2934" s="2">
        <f>T2934-W2934</f>
        <v>16.959399999999999</v>
      </c>
      <c r="AL2934" s="5">
        <f>(T2934-W2934)/T2934</f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>(T2935-W2935)/T2935</f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>AJ2935</f>
        <v>0</v>
      </c>
      <c r="AG2935" s="2">
        <v>15.020300000000001</v>
      </c>
      <c r="AH2935" s="2">
        <v>27.6</v>
      </c>
      <c r="AJ2935" s="2">
        <f>AI2935*T2935</f>
        <v>0</v>
      </c>
      <c r="AK2935" s="2">
        <f>T2935-W2935</f>
        <v>16.959399999999999</v>
      </c>
      <c r="AL2935" s="5">
        <f>(T2935-W2935)/T2935</f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>(T2936-W2936)/T2936</f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>AJ2936</f>
        <v>0</v>
      </c>
      <c r="AG2936" s="2">
        <v>15.020300000000001</v>
      </c>
      <c r="AH2936" s="2">
        <v>27.6</v>
      </c>
      <c r="AJ2936" s="2">
        <f>AI2936*T2936</f>
        <v>0</v>
      </c>
      <c r="AK2936" s="2">
        <f>T2936-W2936</f>
        <v>69.796999999999997</v>
      </c>
      <c r="AL2936" s="5">
        <f>(T2936-W2936)/T2936</f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>(T2937-W2937)/T2937</f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>AJ2937</f>
        <v>0</v>
      </c>
      <c r="AG2937" s="2">
        <v>8.3145000000000007</v>
      </c>
      <c r="AH2937" s="2">
        <v>15</v>
      </c>
      <c r="AJ2937" s="2">
        <f>AI2937*T2937</f>
        <v>0</v>
      </c>
      <c r="AK2937" s="2">
        <f>T2937-W2937</f>
        <v>20.741999999999997</v>
      </c>
      <c r="AL2937" s="5">
        <f>(T2937-W2937)/T2937</f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>(T2938-W2938)/T2938</f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>AJ2938</f>
        <v>0</v>
      </c>
      <c r="AJ2938" s="2">
        <f>AI2938*T2938</f>
        <v>0</v>
      </c>
      <c r="AK2938" s="2">
        <f>T2938-W2938</f>
        <v>1247.8805</v>
      </c>
      <c r="AL2938" s="5">
        <f>(T2938-W2938)/T2938</f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>(T2939-W2939)/T2939</f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>AJ2939</f>
        <v>0</v>
      </c>
      <c r="AJ2939" s="2">
        <f>AI2939*T2939</f>
        <v>0</v>
      </c>
      <c r="AK2939" s="2">
        <f>T2939-W2939</f>
        <v>5</v>
      </c>
      <c r="AL2939" s="5">
        <f>(T2939-W2939)/T2939</f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>(T2940-W2940)/T2940</f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>AJ2940</f>
        <v>0</v>
      </c>
      <c r="AJ2940" s="2">
        <f>AI2940*T2940</f>
        <v>0</v>
      </c>
      <c r="AK2940" s="2">
        <f>T2940-W2940</f>
        <v>2300</v>
      </c>
      <c r="AL2940" s="5">
        <f>(T2940-W2940)/T2940</f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>(T2941-W2941)/T2941</f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>AJ2941</f>
        <v>0</v>
      </c>
      <c r="AJ2941" s="2">
        <f>AI2941*T2941</f>
        <v>0</v>
      </c>
      <c r="AK2941" s="2">
        <f>T2941-W2941</f>
        <v>689.31</v>
      </c>
      <c r="AL2941" s="5">
        <f>(T2941-W2941)/T2941</f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>(T2942-W2942)/T2942</f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>AJ2942</f>
        <v>0</v>
      </c>
      <c r="AG2942" s="2">
        <v>125.51600000000001</v>
      </c>
      <c r="AH2942" s="2">
        <v>220</v>
      </c>
      <c r="AJ2942" s="2">
        <f>AI2942*T2942</f>
        <v>0</v>
      </c>
      <c r="AK2942" s="2">
        <f>T2942-W2942</f>
        <v>116.90399999999998</v>
      </c>
      <c r="AL2942" s="5">
        <f>(T2942-W2942)/T2942</f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>(T2943-W2943)/T2943</f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>AJ2943</f>
        <v>0</v>
      </c>
      <c r="AG2943" s="2">
        <v>125.51600000000001</v>
      </c>
      <c r="AH2943" s="2">
        <v>220</v>
      </c>
      <c r="AJ2943" s="2">
        <f>AI2943*T2943</f>
        <v>0</v>
      </c>
      <c r="AK2943" s="2">
        <f>T2943-W2943</f>
        <v>94.483999999999995</v>
      </c>
      <c r="AL2943" s="5">
        <f>(T2943-W2943)/T2943</f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>(T2944-W2944)/T2944</f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>AJ2944</f>
        <v>0</v>
      </c>
      <c r="AG2944" s="2">
        <v>125.51600000000001</v>
      </c>
      <c r="AH2944" s="2">
        <v>220</v>
      </c>
      <c r="AJ2944" s="2">
        <f>AI2944*T2944</f>
        <v>0</v>
      </c>
      <c r="AK2944" s="2">
        <f>T2944-W2944</f>
        <v>188.96799999999999</v>
      </c>
      <c r="AL2944" s="5">
        <f>(T2944-W2944)/T2944</f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>(T2945-W2945)/T2945</f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>AJ2945</f>
        <v>0</v>
      </c>
      <c r="AG2945" s="2">
        <v>125.51600000000001</v>
      </c>
      <c r="AH2945" s="2">
        <v>220</v>
      </c>
      <c r="AJ2945" s="2">
        <f>AI2945*T2945</f>
        <v>0</v>
      </c>
      <c r="AK2945" s="2">
        <f>T2945-W2945</f>
        <v>83.483999999999995</v>
      </c>
      <c r="AL2945" s="5">
        <f>(T2945-W2945)/T2945</f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>(T2946-W2946)/T2946</f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>AJ2946</f>
        <v>0</v>
      </c>
      <c r="AG2946" s="2">
        <v>125.51600000000001</v>
      </c>
      <c r="AH2946" s="2">
        <v>220</v>
      </c>
      <c r="AJ2946" s="2">
        <f>AI2946*T2946</f>
        <v>0</v>
      </c>
      <c r="AK2946" s="2">
        <f>T2946-W2946</f>
        <v>94.483999999999995</v>
      </c>
      <c r="AL2946" s="5">
        <f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>AJ2947</f>
        <v>0</v>
      </c>
      <c r="AG2947" s="2">
        <v>125.51600000000001</v>
      </c>
      <c r="AH2947" s="2">
        <v>220</v>
      </c>
      <c r="AJ2947" s="2">
        <f>AI2947*T2947</f>
        <v>0</v>
      </c>
      <c r="AK2947" s="2">
        <f>T2947-W2947</f>
        <v>94.483999999999995</v>
      </c>
      <c r="AL2947" s="5">
        <f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>(T2948-W2948)/T2948</f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>AJ2948</f>
        <v>0</v>
      </c>
      <c r="AG2948" s="2">
        <v>125.51600000000001</v>
      </c>
      <c r="AH2948" s="2">
        <v>220</v>
      </c>
      <c r="AJ2948" s="2">
        <f>AI2948*T2948</f>
        <v>0</v>
      </c>
      <c r="AK2948" s="2">
        <f>T2948-W2948</f>
        <v>94.483999999999995</v>
      </c>
      <c r="AL2948" s="5">
        <f>(T2948-W2948)/T2948</f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>(T2949-W2949)/T2949</f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>AJ2949</f>
        <v>0</v>
      </c>
      <c r="AG2949" s="2">
        <v>125.51600000000001</v>
      </c>
      <c r="AH2949" s="2">
        <v>220</v>
      </c>
      <c r="AJ2949" s="2">
        <f>AI2949*T2949</f>
        <v>0</v>
      </c>
      <c r="AK2949" s="2">
        <f>T2949-W2949</f>
        <v>94.483999999999995</v>
      </c>
      <c r="AL2949" s="5">
        <f>(T2949-W2949)/T2949</f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>(T2950-W2950)/T2950</f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>AJ2950</f>
        <v>0</v>
      </c>
      <c r="AG2950" s="2">
        <v>125.51600000000001</v>
      </c>
      <c r="AH2950" s="2">
        <v>220</v>
      </c>
      <c r="AJ2950" s="2">
        <f>AI2950*T2950</f>
        <v>0</v>
      </c>
      <c r="AK2950" s="2">
        <f>T2950-W2950</f>
        <v>94.483999999999995</v>
      </c>
      <c r="AL2950" s="5">
        <f>(T2950-W2950)/T2950</f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>(T2951-W2951)/T2951</f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>AJ2951</f>
        <v>0</v>
      </c>
      <c r="AG2951" s="2">
        <v>125.51600000000001</v>
      </c>
      <c r="AH2951" s="2">
        <v>220</v>
      </c>
      <c r="AJ2951" s="2">
        <f>AI2951*T2951</f>
        <v>0</v>
      </c>
      <c r="AK2951" s="2">
        <f>T2951-W2951</f>
        <v>94.483999999999995</v>
      </c>
      <c r="AL2951" s="5">
        <f>(T2951-W2951)/T2951</f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>(T2952-W2952)/T2952</f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>AJ2952</f>
        <v>0</v>
      </c>
      <c r="AG2952" s="2">
        <v>125.51600000000001</v>
      </c>
      <c r="AH2952" s="2">
        <v>220</v>
      </c>
      <c r="AJ2952" s="2">
        <f>AI2952*T2952</f>
        <v>0</v>
      </c>
      <c r="AK2952" s="2">
        <f>T2952-W2952</f>
        <v>84.483999999999995</v>
      </c>
      <c r="AL2952" s="5">
        <f>(T2952-W2952)/T2952</f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>(T2953-W2953)/T2953</f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>AJ2953</f>
        <v>0</v>
      </c>
      <c r="AG2953" s="2">
        <v>125.51600000000001</v>
      </c>
      <c r="AH2953" s="2">
        <v>220</v>
      </c>
      <c r="AJ2953" s="2">
        <f>AI2953*T2953</f>
        <v>0</v>
      </c>
      <c r="AK2953" s="2">
        <f>T2953-W2953</f>
        <v>94.483999999999995</v>
      </c>
      <c r="AL2953" s="5">
        <f>(T2953-W2953)/T2953</f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>(T2954-W2954)/T2954</f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>AJ2954</f>
        <v>0</v>
      </c>
      <c r="AG2954" s="2">
        <v>125.51600000000001</v>
      </c>
      <c r="AH2954" s="2">
        <v>220</v>
      </c>
      <c r="AJ2954" s="2">
        <f>AI2954*T2954</f>
        <v>0</v>
      </c>
      <c r="AK2954" s="2">
        <f>T2954-W2954</f>
        <v>94.483999999999995</v>
      </c>
      <c r="AL2954" s="5">
        <f>(T2954-W2954)/T2954</f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>(T2955-W2955)/T2955</f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>AJ2955</f>
        <v>0</v>
      </c>
      <c r="AG2955" s="2">
        <v>104.49</v>
      </c>
      <c r="AH2955" s="2">
        <v>220</v>
      </c>
      <c r="AJ2955" s="2">
        <f>AI2955*T2955</f>
        <v>0</v>
      </c>
      <c r="AK2955" s="2">
        <f>T2955-W2955</f>
        <v>95.51</v>
      </c>
      <c r="AL2955" s="5">
        <f>(T2955-W2955)/T2955</f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>(T2956-W2956)/T2956</f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>AJ2956</f>
        <v>0</v>
      </c>
      <c r="AG2956" s="2">
        <v>111.11</v>
      </c>
      <c r="AH2956" s="2">
        <v>190</v>
      </c>
      <c r="AJ2956" s="2">
        <f>AI2956*T2956</f>
        <v>0</v>
      </c>
      <c r="AK2956" s="2">
        <f>T2956-W2956</f>
        <v>78.89</v>
      </c>
      <c r="AL2956" s="5">
        <f>(T2956-W2956)/T2956</f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>(T2957-W2957)/T2957</f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>AJ2957</f>
        <v>0</v>
      </c>
      <c r="AG2957" s="2">
        <v>109.26</v>
      </c>
      <c r="AJ2957" s="2">
        <f>AI2957*T2957</f>
        <v>0</v>
      </c>
      <c r="AK2957" s="2">
        <f>T2957-W2957</f>
        <v>173.81</v>
      </c>
      <c r="AL2957" s="5">
        <f>(T2957-W2957)/T2957</f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>(T2958-W2958)/T2958</f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>AJ2958</f>
        <v>0</v>
      </c>
      <c r="AG2958" s="2">
        <v>120.636</v>
      </c>
      <c r="AH2958" s="2">
        <v>220</v>
      </c>
      <c r="AJ2958" s="2">
        <f>AI2958*T2958</f>
        <v>0</v>
      </c>
      <c r="AK2958" s="2">
        <f>T2958-W2958</f>
        <v>99.364000000000004</v>
      </c>
      <c r="AL2958" s="5">
        <f>(T2958-W2958)/T2958</f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>(T2959-W2959)/T2959</f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>AJ2959</f>
        <v>0</v>
      </c>
      <c r="AG2959" s="2">
        <v>120.636</v>
      </c>
      <c r="AH2959" s="2">
        <v>220</v>
      </c>
      <c r="AJ2959" s="2">
        <f>AI2959*T2959</f>
        <v>0</v>
      </c>
      <c r="AK2959" s="2">
        <f>T2959-W2959</f>
        <v>99.364000000000004</v>
      </c>
      <c r="AL2959" s="5">
        <f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>(T2960-W2960)/T2960</f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>AJ2960</f>
        <v>0</v>
      </c>
      <c r="AG2960" s="2">
        <v>120.636</v>
      </c>
      <c r="AH2960" s="2">
        <v>220</v>
      </c>
      <c r="AJ2960" s="2">
        <f>AI2960*T2960</f>
        <v>0</v>
      </c>
      <c r="AK2960" s="2">
        <f>T2960-W2960</f>
        <v>99.364000000000004</v>
      </c>
      <c r="AL2960" s="5">
        <f>(T2960-W2960)/T2960</f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>(T2961-W2961)/T2961</f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>AJ2961</f>
        <v>0</v>
      </c>
      <c r="AG2961" s="2">
        <f>119.7+6.26</f>
        <v>125.96000000000001</v>
      </c>
      <c r="AJ2961" s="2">
        <f>AI2961*T2961</f>
        <v>0</v>
      </c>
      <c r="AK2961" s="2">
        <f>T2961-W2961</f>
        <v>104.04</v>
      </c>
      <c r="AL2961" s="5">
        <f>(T2961-W2961)/T2961</f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>(T2962-W2962)/T2962</f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>AJ2962</f>
        <v>0</v>
      </c>
      <c r="AG2962" s="2">
        <v>143.91999999999999</v>
      </c>
      <c r="AJ2962" s="2">
        <f>AI2962*T2962</f>
        <v>0</v>
      </c>
      <c r="AK2962" s="2">
        <f>T2962-W2962</f>
        <v>81.02000000000001</v>
      </c>
      <c r="AL2962" s="5">
        <f>(T2962-W2962)/T2962</f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>(T2963-W2963)/T2963</f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>AJ2963</f>
        <v>0</v>
      </c>
      <c r="AJ2963" s="2">
        <f>AI2963*T2963</f>
        <v>0</v>
      </c>
      <c r="AK2963" s="2">
        <f>T2963-W2963</f>
        <v>123.85</v>
      </c>
      <c r="AL2963" s="5">
        <f>(T2963-W2963)/T2963</f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>(T2964-W2964)/T2964</f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>AJ2964</f>
        <v>0</v>
      </c>
      <c r="AG2964" s="2">
        <v>131.93</v>
      </c>
      <c r="AH2964" s="2">
        <v>220</v>
      </c>
      <c r="AJ2964" s="2">
        <f>AI2964*T2964</f>
        <v>0</v>
      </c>
      <c r="AK2964" s="2">
        <f>T2964-W2964</f>
        <v>88.07</v>
      </c>
      <c r="AL2964" s="5">
        <f>(T2964-W2964)/T2964</f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>(T2965-W2965)/T2965</f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>AJ2965</f>
        <v>0</v>
      </c>
      <c r="AG2965" s="2">
        <v>131.93</v>
      </c>
      <c r="AH2965" s="2">
        <v>220</v>
      </c>
      <c r="AJ2965" s="2">
        <f>AI2965*T2965</f>
        <v>0</v>
      </c>
      <c r="AK2965" s="2">
        <f>T2965-W2965</f>
        <v>88.07</v>
      </c>
      <c r="AL2965" s="5">
        <f>(T2965-W2965)/T2965</f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>(T2966-W2966)/T2966</f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>AJ2966</f>
        <v>0</v>
      </c>
      <c r="AG2966" s="2">
        <v>119.33</v>
      </c>
      <c r="AH2966" s="2">
        <v>220</v>
      </c>
      <c r="AJ2966" s="2">
        <f>AI2966*T2966</f>
        <v>0</v>
      </c>
      <c r="AK2966" s="2">
        <f>T2966-W2966</f>
        <v>139.36000000000001</v>
      </c>
      <c r="AL2966" s="5">
        <f>(T2966-W2966)/T2966</f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>(T2967-W2967)/T2967</f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>AJ2967</f>
        <v>0</v>
      </c>
      <c r="AG2967" s="2">
        <v>119.33</v>
      </c>
      <c r="AH2967" s="2">
        <v>220</v>
      </c>
      <c r="AJ2967" s="2">
        <f>AI2967*T2967</f>
        <v>0</v>
      </c>
      <c r="AK2967" s="2">
        <f>T2967-W2967</f>
        <v>100.67</v>
      </c>
      <c r="AL2967" s="5">
        <f>(T2967-W2967)/T2967</f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>(T2968-W2968)/T2968</f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>AJ2968</f>
        <v>0</v>
      </c>
      <c r="AG2968" s="2">
        <v>119.33</v>
      </c>
      <c r="AH2968" s="2">
        <v>220</v>
      </c>
      <c r="AJ2968" s="2">
        <f>AI2968*T2968</f>
        <v>0</v>
      </c>
      <c r="AK2968" s="2">
        <f>T2968-W2968</f>
        <v>89.67</v>
      </c>
      <c r="AL2968" s="5">
        <f>(T2968-W2968)/T2968</f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>(T2969-W2969)/T2969</f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>AJ2969</f>
        <v>0</v>
      </c>
      <c r="AG2969" s="2">
        <v>120.78</v>
      </c>
      <c r="AH2969" s="2">
        <v>210</v>
      </c>
      <c r="AJ2969" s="2">
        <f>AI2969*T2969</f>
        <v>0</v>
      </c>
      <c r="AK2969" s="2">
        <f>T2969-W2969</f>
        <v>89.22</v>
      </c>
      <c r="AL2969" s="5">
        <f>(T2969-W2969)/T2969</f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>(T2970-W2970)/T2970</f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>AJ2970</f>
        <v>0</v>
      </c>
      <c r="AG2970" s="2">
        <v>5.9066999999999998</v>
      </c>
      <c r="AH2970" s="2">
        <v>12.6</v>
      </c>
      <c r="AJ2970" s="2">
        <f>AI2970*T2970</f>
        <v>0</v>
      </c>
      <c r="AK2970" s="2">
        <f>T2970-W2970</f>
        <v>6.6932999999999998</v>
      </c>
      <c r="AL2970" s="5">
        <f>(T2970-W2970)/T2970</f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>(T2971-W2971)/T2971</f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>AJ2971</f>
        <v>0</v>
      </c>
      <c r="AG2971" s="2">
        <v>122.446</v>
      </c>
      <c r="AH2971" s="2">
        <v>230</v>
      </c>
      <c r="AJ2971" s="2">
        <f>AI2971*T2971</f>
        <v>0</v>
      </c>
      <c r="AK2971" s="2">
        <f>T2971-W2971</f>
        <v>97.213999999999999</v>
      </c>
      <c r="AL2971" s="5">
        <f>(T2971-W2971)/T2971</f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>(T2972-W2972)/T2972</f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>AJ2972</f>
        <v>0</v>
      </c>
      <c r="AG2972" s="2">
        <v>122.446</v>
      </c>
      <c r="AH2972" s="2">
        <v>230</v>
      </c>
      <c r="AJ2972" s="2">
        <f>AI2972*T2972</f>
        <v>0</v>
      </c>
      <c r="AK2972" s="2">
        <f>T2972-W2972</f>
        <v>97.554000000000002</v>
      </c>
      <c r="AL2972" s="5">
        <f>(T2972-W2972)/T2972</f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>(T2973-W2973)/T2973</f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>AJ2973</f>
        <v>0</v>
      </c>
      <c r="AG2973" s="2">
        <v>111.98</v>
      </c>
      <c r="AH2973" s="2">
        <v>210</v>
      </c>
      <c r="AJ2973" s="2">
        <f>AI2973*T2973</f>
        <v>0</v>
      </c>
      <c r="AK2973" s="2">
        <f>T2973-W2973</f>
        <v>98.02</v>
      </c>
      <c r="AL2973" s="5">
        <f>(T2973-W2973)/T2973</f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>(T2974-W2974)/T2974</f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>AJ2974</f>
        <v>0</v>
      </c>
      <c r="AG2974" s="2">
        <v>111.98</v>
      </c>
      <c r="AH2974" s="2">
        <v>210</v>
      </c>
      <c r="AJ2974" s="2">
        <f>AI2974*T2974</f>
        <v>0</v>
      </c>
      <c r="AK2974" s="2">
        <f>T2974-W2974</f>
        <v>91.719999999999985</v>
      </c>
      <c r="AL2974" s="5">
        <f>(T2974-W2974)/T2974</f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>(T2975-W2975)/T2975</f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>AJ2975</f>
        <v>0</v>
      </c>
      <c r="AG2975" s="2">
        <v>111.98</v>
      </c>
      <c r="AH2975" s="2">
        <v>210</v>
      </c>
      <c r="AJ2975" s="2">
        <f>AI2975*T2975</f>
        <v>0</v>
      </c>
      <c r="AK2975" s="2">
        <f>T2975-W2975</f>
        <v>98.02</v>
      </c>
      <c r="AL2975" s="5">
        <f>(T2975-W2975)/T2975</f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>(T2976-W2976)/T2976</f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>AJ2976</f>
        <v>0</v>
      </c>
      <c r="AG2976" s="2">
        <v>111.98</v>
      </c>
      <c r="AH2976" s="2">
        <v>210</v>
      </c>
      <c r="AJ2976" s="2">
        <f>AI2976*T2976</f>
        <v>0</v>
      </c>
      <c r="AK2976" s="2">
        <f>T2976-W2976</f>
        <v>101.42</v>
      </c>
      <c r="AL2976" s="5">
        <f>(T2976-W2976)/T2976</f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>(T2977-W2977)/T2977</f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>AJ2977</f>
        <v>0</v>
      </c>
      <c r="AG2977" s="2">
        <f>110.125+11.77</f>
        <v>121.895</v>
      </c>
      <c r="AJ2977" s="2">
        <f>AI2977*T2977</f>
        <v>0</v>
      </c>
      <c r="AK2977" s="2">
        <f>T2977-W2977</f>
        <v>77.605000000000004</v>
      </c>
      <c r="AL2977" s="5">
        <f>(T2977-W2977)/T2977</f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>(T2978-W2978)/T2978</f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>AJ2978</f>
        <v>0</v>
      </c>
      <c r="AG2978" s="2">
        <f>198.32+10.37</f>
        <v>208.69</v>
      </c>
      <c r="AH2978" s="2">
        <v>340</v>
      </c>
      <c r="AJ2978" s="2">
        <f>AI2978*T2978</f>
        <v>0</v>
      </c>
      <c r="AK2978" s="2">
        <f>T2978-W2978</f>
        <v>236.99</v>
      </c>
      <c r="AL2978" s="5">
        <f>(T2978-W2978)/T2978</f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>AJ2979</f>
        <v>0</v>
      </c>
      <c r="AG2979" s="2">
        <f>144.14+15.4</f>
        <v>159.54</v>
      </c>
      <c r="AH2979" s="2">
        <v>280</v>
      </c>
      <c r="AJ2979" s="2">
        <f>AI2979*T2979</f>
        <v>0</v>
      </c>
      <c r="AK2979" s="2">
        <f>T2979-W2979</f>
        <v>174.92000000000002</v>
      </c>
      <c r="AL2979" s="5">
        <f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>(T2980-W2980)/T2980</f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>AJ2980</f>
        <v>0</v>
      </c>
      <c r="AG2980" s="2">
        <v>152.85</v>
      </c>
      <c r="AH2980" s="2">
        <v>260</v>
      </c>
      <c r="AJ2980" s="2">
        <f>AI2980*T2980</f>
        <v>0</v>
      </c>
      <c r="AK2980" s="2">
        <f>T2980-W2980</f>
        <v>107.15</v>
      </c>
      <c r="AL2980" s="5">
        <f>(T2980-W2980)/T2980</f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>(T2981-W2981)/T2981</f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>AJ2981</f>
        <v>0</v>
      </c>
      <c r="AJ2981" s="2">
        <f>AI2981*T2981</f>
        <v>0</v>
      </c>
      <c r="AK2981" s="2">
        <f>T2981-W2981</f>
        <v>134.92999999999998</v>
      </c>
      <c r="AL2981" s="5">
        <f>(T2981-W2981)/T2981</f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>(T2982-W2982)/T2982</f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>AJ2982</f>
        <v>0</v>
      </c>
      <c r="AJ2982" s="2">
        <f>AI2982*T2982</f>
        <v>0</v>
      </c>
      <c r="AK2982" s="2">
        <f>T2982-W2982</f>
        <v>134.68</v>
      </c>
      <c r="AL2982" s="5">
        <f>(T2982-W2982)/T2982</f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>(T2983-W2983)/T2983</f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>AJ2983</f>
        <v>0</v>
      </c>
      <c r="AJ2983" s="2">
        <f>AI2983*T2983</f>
        <v>0</v>
      </c>
      <c r="AK2983" s="2">
        <f>T2983-W2983</f>
        <v>56.710000000000008</v>
      </c>
      <c r="AL2983" s="5">
        <f>(T2983-W2983)/T2983</f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>(T2984-W2984)/T2984</f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>AJ2984</f>
        <v>0</v>
      </c>
      <c r="AG2984" s="2">
        <v>291.58999999999997</v>
      </c>
      <c r="AH2984" s="2">
        <v>450</v>
      </c>
      <c r="AJ2984" s="2">
        <f>AI2984*T2984</f>
        <v>0</v>
      </c>
      <c r="AK2984" s="2">
        <f>T2984-W2984</f>
        <v>168.41000000000003</v>
      </c>
      <c r="AL2984" s="5">
        <f>(T2984-W2984)/T2984</f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>(T2985-W2985)/T2985</f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>AJ2985</f>
        <v>0</v>
      </c>
      <c r="AG2985" s="2">
        <v>291.58999999999997</v>
      </c>
      <c r="AH2985" s="2">
        <v>450</v>
      </c>
      <c r="AJ2985" s="2">
        <f>AI2985*T2985</f>
        <v>0</v>
      </c>
      <c r="AK2985" s="2">
        <f>T2985-W2985</f>
        <v>168.41000000000003</v>
      </c>
      <c r="AL2985" s="5">
        <f>(T2985-W2985)/T2985</f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>(T2986-W2986)/T2986</f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>AJ2986</f>
        <v>0</v>
      </c>
      <c r="AJ2986" s="2">
        <f>AI2986*T2986</f>
        <v>0</v>
      </c>
      <c r="AK2986" s="2">
        <f>T2986-W2986</f>
        <v>15</v>
      </c>
      <c r="AL2986" s="5">
        <f>(T2986-W2986)/T2986</f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>(T2987-W2987)/T2987</f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>AJ2987</f>
        <v>0</v>
      </c>
      <c r="AJ2987" s="2">
        <f>AI2987*T2987</f>
        <v>0</v>
      </c>
      <c r="AK2987" s="2">
        <f>T2987-W2987</f>
        <v>106.07999999999998</v>
      </c>
      <c r="AL2987" s="5">
        <f>(T2987-W2987)/T2987</f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>(T2988-W2988)/T2988</f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>AJ2988</f>
        <v>0</v>
      </c>
      <c r="AJ2988" s="2">
        <f>AI2988*T2988</f>
        <v>0</v>
      </c>
      <c r="AK2988" s="2">
        <f>T2988-W2988</f>
        <v>216.88</v>
      </c>
      <c r="AL2988" s="5">
        <f>(T2988-W2988)/T2988</f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>(T2989-W2989)/T2989</f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>AJ2989</f>
        <v>0</v>
      </c>
      <c r="AJ2989" s="2">
        <f>AI2989*T2989</f>
        <v>0</v>
      </c>
      <c r="AK2989" s="2">
        <f>T2989-W2989</f>
        <v>234.07</v>
      </c>
      <c r="AL2989" s="5">
        <f>(T2989-W2989)/T2989</f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>(T2990-W2990)/T2990</f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>AJ2990</f>
        <v>0</v>
      </c>
      <c r="AG2990" s="2">
        <v>1160.5</v>
      </c>
      <c r="AH2990" s="2">
        <v>1500</v>
      </c>
      <c r="AJ2990" s="2">
        <f>AI2990*T2990</f>
        <v>0</v>
      </c>
      <c r="AK2990" s="2">
        <f>T2990-W2990</f>
        <v>339.5</v>
      </c>
      <c r="AL2990" s="5">
        <f>(T2990-W2990)/T2990</f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>(T2991-W2991)/T2991</f>
        <v>1</v>
      </c>
      <c r="Z2991" s="2" t="s">
        <v>120</v>
      </c>
      <c r="AA2991" s="2" t="s">
        <v>493</v>
      </c>
      <c r="AF2991" s="2">
        <f>AJ2991</f>
        <v>0</v>
      </c>
      <c r="AJ2991" s="2">
        <f>AI2991*T2991</f>
        <v>0</v>
      </c>
      <c r="AK2991" s="2">
        <f>T2991-W2991</f>
        <v>664.04</v>
      </c>
      <c r="AL2991" s="5">
        <f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>(T2992-W2992)/T2992</f>
        <v>1</v>
      </c>
      <c r="Z2992" s="2" t="s">
        <v>118</v>
      </c>
      <c r="AA2992" s="2" t="s">
        <v>318</v>
      </c>
      <c r="AF2992" s="2">
        <f>AJ2992</f>
        <v>0</v>
      </c>
      <c r="AJ2992" s="2">
        <f>AI2992*T2992</f>
        <v>0</v>
      </c>
      <c r="AK2992" s="2">
        <f>T2992-W2992</f>
        <v>291</v>
      </c>
      <c r="AL2992" s="5">
        <f>(T2992-W2992)/T2992</f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>(T2993-W2993)/T2993</f>
        <v>1</v>
      </c>
      <c r="Z2993" s="2" t="s">
        <v>118</v>
      </c>
      <c r="AA2993" s="2" t="s">
        <v>318</v>
      </c>
      <c r="AF2993" s="2">
        <f>AJ2993</f>
        <v>0</v>
      </c>
      <c r="AJ2993" s="2">
        <f>AI2993*T2993</f>
        <v>0</v>
      </c>
      <c r="AK2993" s="2">
        <f>T2993-W2993</f>
        <v>-850</v>
      </c>
      <c r="AL2993" s="5">
        <f>(T2993-W2993)/T2993</f>
        <v>1</v>
      </c>
    </row>
    <row r="2994" spans="1:38" x14ac:dyDescent="0.2">
      <c r="A2994" s="2">
        <v>2026</v>
      </c>
      <c r="B2994" s="2">
        <v>1</v>
      </c>
      <c r="C2994" s="2" t="s">
        <v>3456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>(T2994-W2994)/T2994</f>
        <v>1</v>
      </c>
      <c r="Z2994" s="2" t="s">
        <v>118</v>
      </c>
      <c r="AA2994" s="2" t="s">
        <v>318</v>
      </c>
      <c r="AF2994" s="2">
        <f>AJ2994</f>
        <v>0</v>
      </c>
      <c r="AJ2994" s="2">
        <f>AI2994*T2994</f>
        <v>0</v>
      </c>
      <c r="AK2994" s="2">
        <f>T2994-W2994</f>
        <v>875</v>
      </c>
      <c r="AL2994" s="5">
        <f>(T2994-W2994)/T2994</f>
        <v>1</v>
      </c>
    </row>
    <row r="2995" spans="1:38" x14ac:dyDescent="0.2">
      <c r="A2995" s="2">
        <v>2026</v>
      </c>
      <c r="B2995" s="2">
        <v>4</v>
      </c>
      <c r="C2995" s="2" t="s">
        <v>3448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>AJ2995</f>
        <v>0</v>
      </c>
      <c r="AJ2995" s="2">
        <f>AI2995*T2995</f>
        <v>0</v>
      </c>
      <c r="AK2995" s="2">
        <f>T2995-W2995</f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3448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>AJ2996</f>
        <v>0</v>
      </c>
      <c r="AG2996" s="2">
        <f>W2996</f>
        <v>0</v>
      </c>
      <c r="AJ2996" s="2">
        <f>AI2996*T2996</f>
        <v>0</v>
      </c>
      <c r="AK2996" s="2">
        <f>T2996-W2996</f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>AJ2997</f>
        <v>0</v>
      </c>
      <c r="AJ2997" s="2">
        <f>AI2997*T2997</f>
        <v>0</v>
      </c>
      <c r="AK2997" s="2">
        <f>T2997-W2997</f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>AJ2998</f>
        <v>0</v>
      </c>
      <c r="AG2998" s="2">
        <f>W2998</f>
        <v>27.5</v>
      </c>
      <c r="AJ2998" s="2">
        <f>AI2998*T2998</f>
        <v>0</v>
      </c>
      <c r="AK2998" s="2">
        <f>T2998-W2998</f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>AJ2999</f>
        <v>0</v>
      </c>
      <c r="AJ2999" s="2">
        <f>AI2999*T2999</f>
        <v>0</v>
      </c>
      <c r="AK2999" s="2">
        <f>T2999-W2999</f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>AJ3000</f>
        <v>0</v>
      </c>
      <c r="AG3000" s="2">
        <f>W3000</f>
        <v>0</v>
      </c>
      <c r="AJ3000" s="2">
        <f>AI3000*T3000</f>
        <v>0</v>
      </c>
      <c r="AK3000" s="2">
        <f>T3000-W3000</f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>AJ3001</f>
        <v>0</v>
      </c>
      <c r="AG3001" s="2">
        <f>W3001</f>
        <v>198.4</v>
      </c>
      <c r="AJ3001" s="2">
        <f>AI3001*T3001</f>
        <v>0</v>
      </c>
      <c r="AK3001" s="2">
        <f>T3001-W3001</f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>AJ3002</f>
        <v>0</v>
      </c>
      <c r="AG3002" s="2">
        <f>W3002</f>
        <v>100</v>
      </c>
      <c r="AJ3002" s="2">
        <f>AI3002*T3002</f>
        <v>0</v>
      </c>
      <c r="AK3002" s="2">
        <f>T3002-W3002</f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>AJ3003</f>
        <v>0</v>
      </c>
      <c r="AG3003" s="2">
        <f>W3003</f>
        <v>-24.400000000000002</v>
      </c>
      <c r="AJ3003" s="2">
        <f>AI3003*T3003</f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>AJ3004</f>
        <v>0</v>
      </c>
      <c r="AG3004" s="2">
        <f>W3004</f>
        <v>0</v>
      </c>
      <c r="AJ3004" s="2">
        <f>AI3004*T3004</f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>AJ3005</f>
        <v>0</v>
      </c>
      <c r="AG3005" s="2">
        <f>W3005</f>
        <v>41.25</v>
      </c>
      <c r="AJ3005" s="2">
        <f>AI3005*T3005</f>
        <v>0</v>
      </c>
      <c r="AK3005" s="2">
        <f>T3005-W3005</f>
        <v>41.25</v>
      </c>
      <c r="AL3005" s="5">
        <f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>AJ3006</f>
        <v>0</v>
      </c>
      <c r="AG3006" s="2">
        <f>W3006</f>
        <v>22</v>
      </c>
      <c r="AJ3006" s="2">
        <f>AI3006*T3006</f>
        <v>0</v>
      </c>
      <c r="AK3006" s="2">
        <f>T3006-W3006</f>
        <v>33</v>
      </c>
      <c r="AL3006" s="5">
        <f>(T3006-W3006)/T3006</f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>(T3007-W3007)/T3007</f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>AJ3007</f>
        <v>0</v>
      </c>
      <c r="AG3007" s="2">
        <f>W3007</f>
        <v>27.5</v>
      </c>
      <c r="AJ3007" s="2">
        <f>AI3007*T3007</f>
        <v>0</v>
      </c>
      <c r="AK3007" s="2">
        <f>T3007-W3007</f>
        <v>27.5</v>
      </c>
      <c r="AL3007" s="5">
        <f>(T3007-W3007)/T3007</f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>(T3008-W3008)/T3008</f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>AJ3008</f>
        <v>0</v>
      </c>
      <c r="AG3008" s="2">
        <f>W3008</f>
        <v>24</v>
      </c>
      <c r="AJ3008" s="2">
        <f>AI3008*T3008</f>
        <v>0</v>
      </c>
      <c r="AK3008" s="2">
        <f>T3008-W3008</f>
        <v>36</v>
      </c>
      <c r="AL3008" s="5">
        <f>(T3008-W3008)/T3008</f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>(T3009-W3009)/T3009</f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>AJ3009</f>
        <v>0</v>
      </c>
      <c r="AG3009" s="2">
        <f>W3009</f>
        <v>27.5</v>
      </c>
      <c r="AJ3009" s="2">
        <f>AI3009*T3009</f>
        <v>0</v>
      </c>
      <c r="AK3009" s="2">
        <f>T3009-W3009</f>
        <v>27.5</v>
      </c>
      <c r="AL3009" s="5">
        <f>(T3009-W3009)/T3009</f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>(T3010-W3010)/T3010</f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>AJ3010</f>
        <v>0</v>
      </c>
      <c r="AG3010" s="2">
        <f>W3010</f>
        <v>24</v>
      </c>
      <c r="AJ3010" s="2">
        <f>AI3010*T3010</f>
        <v>0</v>
      </c>
      <c r="AK3010" s="2">
        <f>T3010-W3010</f>
        <v>36</v>
      </c>
      <c r="AL3010" s="5">
        <f>(T3010-W3010)/T3010</f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>(T3011-W3011)/T3011</f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>AJ3011</f>
        <v>0</v>
      </c>
      <c r="AG3011" s="2">
        <f>W3011</f>
        <v>37.5</v>
      </c>
      <c r="AJ3011" s="2">
        <f>AI3011*T3011</f>
        <v>0</v>
      </c>
      <c r="AK3011" s="2">
        <f>T3011-W3011</f>
        <v>37.5</v>
      </c>
      <c r="AL3011" s="5">
        <f>(T3011-W3011)/T3011</f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>(T3012-W3012)/T3012</f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>AJ3012</f>
        <v>0</v>
      </c>
      <c r="AG3012" s="2">
        <f>W3012</f>
        <v>126.80000000000001</v>
      </c>
      <c r="AJ3012" s="2">
        <f>AI3012*T3012</f>
        <v>0</v>
      </c>
      <c r="AK3012" s="2">
        <f>T3012-W3012</f>
        <v>190.2</v>
      </c>
      <c r="AL3012" s="5">
        <f>(T3012-W3012)/T3012</f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>(T3013-W3013)/T3013</f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>AJ3013</f>
        <v>0</v>
      </c>
      <c r="AG3013" s="2">
        <f>W3013</f>
        <v>27.5</v>
      </c>
      <c r="AJ3013" s="2">
        <f>AI3013*T3013</f>
        <v>0</v>
      </c>
      <c r="AK3013" s="2">
        <f>T3013-W3013</f>
        <v>27.5</v>
      </c>
      <c r="AL3013" s="5">
        <f>(T3013-W3013)/T3013</f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>AJ3014</f>
        <v>0</v>
      </c>
      <c r="AG3014" s="2">
        <f>W3014</f>
        <v>-15</v>
      </c>
      <c r="AJ3014" s="2">
        <f>AI3014*T3014</f>
        <v>0</v>
      </c>
      <c r="AK3014" s="2">
        <f>T3014-W3014</f>
        <v>-22.5</v>
      </c>
      <c r="AL3014" s="5">
        <f>(T3014-W3014)/T3014</f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>AJ3015</f>
        <v>0</v>
      </c>
      <c r="AG3015" s="2">
        <f>W3015</f>
        <v>0</v>
      </c>
      <c r="AJ3015" s="2">
        <f>AI3015*T3015</f>
        <v>0</v>
      </c>
      <c r="AK3015" s="2">
        <f>T3015-W3015</f>
        <v>-36</v>
      </c>
      <c r="AL3015" s="5">
        <f>(T3015-W3015)/T3015</f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>AJ3016</f>
        <v>0</v>
      </c>
      <c r="AG3016" s="2">
        <f>W3016</f>
        <v>20</v>
      </c>
      <c r="AJ3016" s="2">
        <f>AI3016*T3016</f>
        <v>0</v>
      </c>
      <c r="AK3016" s="2">
        <f>T3016-W3016</f>
        <v>30</v>
      </c>
      <c r="AL3016" s="5">
        <f>(T3016-W3016)/T3016</f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>(T3017-W3017)/T3017</f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>AJ3017</f>
        <v>0</v>
      </c>
      <c r="AG3017" s="2">
        <f>W3017</f>
        <v>25</v>
      </c>
      <c r="AJ3017" s="2">
        <f>AI3017*T3017</f>
        <v>0</v>
      </c>
      <c r="AK3017" s="2">
        <f>T3017-W3017</f>
        <v>25</v>
      </c>
      <c r="AL3017" s="5">
        <f>(T3017-W3017)/T3017</f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>(T3018-W3018)/T3018</f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>AJ3018</f>
        <v>0</v>
      </c>
      <c r="AG3018" s="2">
        <f>W3018</f>
        <v>41.6</v>
      </c>
      <c r="AJ3018" s="2">
        <f>AI3018*T3018</f>
        <v>0</v>
      </c>
      <c r="AK3018" s="2">
        <f>T3018-W3018</f>
        <v>62.4</v>
      </c>
      <c r="AL3018" s="5">
        <f>(T3018-W3018)/T3018</f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>(T3019-W3019)/T3019</f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>AJ3019</f>
        <v>0</v>
      </c>
      <c r="AG3019" s="2">
        <f>W3019</f>
        <v>27.5</v>
      </c>
      <c r="AJ3019" s="2">
        <f>AI3019*T3019</f>
        <v>0</v>
      </c>
      <c r="AK3019" s="2">
        <f>T3019-W3019</f>
        <v>27.5</v>
      </c>
      <c r="AL3019" s="5">
        <f>(T3019-W3019)/T3019</f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>(T3020-W3020)/T3020</f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>AJ3020</f>
        <v>0</v>
      </c>
      <c r="AG3020" s="2">
        <f>W3020</f>
        <v>31.6</v>
      </c>
      <c r="AJ3020" s="2">
        <f>AI3020*T3020</f>
        <v>0</v>
      </c>
      <c r="AK3020" s="2">
        <f>T3020-W3020</f>
        <v>47.4</v>
      </c>
      <c r="AL3020" s="5">
        <f>(T3020-W3020)/T3020</f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>(T3021-W3021)/T3021</f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>AJ3021</f>
        <v>0</v>
      </c>
      <c r="AG3021" s="2">
        <f>W3021</f>
        <v>55</v>
      </c>
      <c r="AJ3021" s="2">
        <f>AI3021*T3021</f>
        <v>0</v>
      </c>
      <c r="AK3021" s="2">
        <f>T3021-W3021</f>
        <v>55</v>
      </c>
      <c r="AL3021" s="5">
        <f>(T3021-W3021)/T3021</f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>(T3022-W3022)/T3022</f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>AJ3022</f>
        <v>0</v>
      </c>
      <c r="AG3022" s="2">
        <f>W3022</f>
        <v>138</v>
      </c>
      <c r="AJ3022" s="2">
        <f>AI3022*T3022</f>
        <v>0</v>
      </c>
      <c r="AK3022" s="2">
        <f>T3022-W3022</f>
        <v>207</v>
      </c>
      <c r="AL3022" s="5">
        <f>(T3022-W3022)/T3022</f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>(T3023-W3023)/T3023</f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>AJ3023</f>
        <v>0</v>
      </c>
      <c r="AG3023" s="2">
        <f>W3023</f>
        <v>150</v>
      </c>
      <c r="AJ3023" s="2">
        <f>AI3023*T3023</f>
        <v>0</v>
      </c>
      <c r="AK3023" s="2">
        <f>T3023-W3023</f>
        <v>150</v>
      </c>
      <c r="AL3023" s="5">
        <f>(T3023-W3023)/T3023</f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>(T3024-W3024)/T3024</f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>AJ3024</f>
        <v>0</v>
      </c>
      <c r="AG3024" s="2">
        <f>W3024</f>
        <v>54</v>
      </c>
      <c r="AJ3024" s="2">
        <f>AI3024*T3024</f>
        <v>0</v>
      </c>
      <c r="AK3024" s="2">
        <f>T3024-W3024</f>
        <v>81</v>
      </c>
      <c r="AL3024" s="5">
        <f>(T3024-W3024)/T3024</f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>(T3025-W3025)/T3025</f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>AJ3025</f>
        <v>0</v>
      </c>
      <c r="AG3025" s="2">
        <f>W3025</f>
        <v>50</v>
      </c>
      <c r="AJ3025" s="2">
        <f>AI3025*T3025</f>
        <v>0</v>
      </c>
      <c r="AK3025" s="2">
        <f>T3025-W3025</f>
        <v>50</v>
      </c>
      <c r="AL3025" s="5">
        <f>(T3025-W3025)/T3025</f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>(T3026-W3026)/T3026</f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>AJ3026</f>
        <v>0</v>
      </c>
      <c r="AG3026" s="2">
        <f>W3026</f>
        <v>24</v>
      </c>
      <c r="AJ3026" s="2">
        <f>AI3026*T3026</f>
        <v>0</v>
      </c>
      <c r="AK3026" s="2">
        <f>T3026-W3026</f>
        <v>36</v>
      </c>
      <c r="AL3026" s="5">
        <f>(T3026-W3026)/T3026</f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>(T3027-W3027)/T3027</f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>AJ3027</f>
        <v>0</v>
      </c>
      <c r="AG3027" s="2">
        <f>W3027</f>
        <v>55</v>
      </c>
      <c r="AJ3027" s="2">
        <f>AI3027*T3027</f>
        <v>0</v>
      </c>
      <c r="AK3027" s="2">
        <f>T3027-W3027</f>
        <v>55</v>
      </c>
      <c r="AL3027" s="5">
        <f>(T3027-W3027)/T3027</f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>(T3028-W3028)/T3028</f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>AJ3028</f>
        <v>0</v>
      </c>
      <c r="AG3028" s="2">
        <f>W3028</f>
        <v>44.800000000000004</v>
      </c>
      <c r="AJ3028" s="2">
        <f>AI3028*T3028</f>
        <v>0</v>
      </c>
      <c r="AK3028" s="2">
        <f>T3028-W3028</f>
        <v>67.199999999999989</v>
      </c>
      <c r="AL3028" s="5">
        <f>(T3028-W3028)/T3028</f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>(T3029-W3029)/T3029</f>
        <v>1</v>
      </c>
      <c r="Z3029" s="2" t="s">
        <v>170</v>
      </c>
      <c r="AA3029" s="2" t="s">
        <v>170</v>
      </c>
      <c r="AF3029" s="2">
        <f>AJ3029</f>
        <v>0</v>
      </c>
      <c r="AJ3029" s="2">
        <f>AI3029*T3029</f>
        <v>0</v>
      </c>
      <c r="AK3029" s="2">
        <f>T3029-W3029</f>
        <v>8</v>
      </c>
      <c r="AL3029" s="5">
        <f>(T3029-W3029)/T3029</f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>(T3030-W3030)/T3030</f>
        <v>1</v>
      </c>
      <c r="Z3030" s="2" t="s">
        <v>170</v>
      </c>
      <c r="AA3030" s="2" t="s">
        <v>170</v>
      </c>
      <c r="AF3030" s="2">
        <f>AJ3030</f>
        <v>0</v>
      </c>
      <c r="AJ3030" s="2">
        <f>AI3030*T3030</f>
        <v>0</v>
      </c>
      <c r="AK3030" s="2">
        <f>T3030-W3030</f>
        <v>10</v>
      </c>
      <c r="AL3030" s="5">
        <f>(T3030-W3030)/T3030</f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>(T3031-W3031)/T3031</f>
        <v>1</v>
      </c>
      <c r="Z3031" s="2" t="s">
        <v>170</v>
      </c>
      <c r="AA3031" s="2" t="s">
        <v>170</v>
      </c>
      <c r="AF3031" s="2">
        <f>AJ3031</f>
        <v>0</v>
      </c>
      <c r="AJ3031" s="2">
        <f>AI3031*T3031</f>
        <v>0</v>
      </c>
      <c r="AK3031" s="2">
        <f>T3031-W3031</f>
        <v>5</v>
      </c>
      <c r="AL3031" s="5">
        <f>(T3031-W3031)/T3031</f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>(T3032-W3032)/T3032</f>
        <v>1</v>
      </c>
      <c r="Z3032" s="2" t="s">
        <v>170</v>
      </c>
      <c r="AA3032" s="2" t="s">
        <v>170</v>
      </c>
      <c r="AF3032" s="2">
        <f>AJ3032</f>
        <v>0</v>
      </c>
      <c r="AJ3032" s="2">
        <f>AI3032*T3032</f>
        <v>0</v>
      </c>
      <c r="AK3032" s="2">
        <f>T3032-W3032</f>
        <v>5</v>
      </c>
      <c r="AL3032" s="5">
        <f>(T3032-W3032)/T3032</f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>(T3033-W3033)/T3033</f>
        <v>1</v>
      </c>
      <c r="Z3033" s="2" t="s">
        <v>170</v>
      </c>
      <c r="AA3033" s="2" t="s">
        <v>170</v>
      </c>
      <c r="AF3033" s="2">
        <f>AJ3033</f>
        <v>0</v>
      </c>
      <c r="AJ3033" s="2">
        <f>AI3033*T3033</f>
        <v>0</v>
      </c>
      <c r="AK3033" s="2">
        <f>T3033-W3033</f>
        <v>4.5</v>
      </c>
      <c r="AL3033" s="5">
        <f>(T3033-W3033)/T3033</f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>(T3034-W3034)/T3034</f>
        <v>1</v>
      </c>
      <c r="Z3034" s="2" t="s">
        <v>170</v>
      </c>
      <c r="AA3034" s="2" t="s">
        <v>170</v>
      </c>
      <c r="AF3034" s="2">
        <f>AJ3034</f>
        <v>0</v>
      </c>
      <c r="AJ3034" s="2">
        <f>AI3034*T3034</f>
        <v>0</v>
      </c>
      <c r="AK3034" s="2">
        <f>T3034-W3034</f>
        <v>100</v>
      </c>
      <c r="AL3034" s="5">
        <f>(T3034-W3034)/T3034</f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>(T3035-W3035)/T3035</f>
        <v>1</v>
      </c>
      <c r="Z3035" s="2" t="s">
        <v>170</v>
      </c>
      <c r="AA3035" s="2" t="s">
        <v>170</v>
      </c>
      <c r="AF3035" s="2">
        <f>AJ3035</f>
        <v>0</v>
      </c>
      <c r="AJ3035" s="2">
        <f>AI3035*T3035</f>
        <v>0</v>
      </c>
      <c r="AK3035" s="2">
        <f>T3035-W3035</f>
        <v>8</v>
      </c>
      <c r="AL3035" s="5">
        <f>(T3035-W3035)/T3035</f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>AJ3036</f>
        <v>0</v>
      </c>
      <c r="AJ3036" s="2">
        <f>AI3036*T3036</f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>(T3037-W3037)/T3037</f>
        <v>1</v>
      </c>
      <c r="Z3037" s="2" t="s">
        <v>118</v>
      </c>
      <c r="AA3037" s="2" t="s">
        <v>1312</v>
      </c>
      <c r="AF3037" s="2">
        <f>AJ3037</f>
        <v>0</v>
      </c>
      <c r="AJ3037" s="2">
        <f>AI3037*T3037</f>
        <v>0</v>
      </c>
      <c r="AK3037" s="2">
        <f>T3037-W3037</f>
        <v>588.54999999999995</v>
      </c>
      <c r="AL3037" s="5">
        <f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>(T3038-W3038)/T3038</f>
        <v>#DIV/0!</v>
      </c>
      <c r="Z3038" s="2" t="s">
        <v>118</v>
      </c>
      <c r="AA3038" s="2" t="s">
        <v>1312</v>
      </c>
      <c r="AF3038" s="2">
        <f>AJ3038</f>
        <v>0</v>
      </c>
      <c r="AJ3038" s="2">
        <f>AI3038*T3038</f>
        <v>0</v>
      </c>
      <c r="AK3038" s="2">
        <f>T3038-W3038</f>
        <v>0</v>
      </c>
      <c r="AL3038" s="5" t="e">
        <f>(T3038-W3038)/T3038</f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>(T3039-W3039)/T3039</f>
        <v>#DIV/0!</v>
      </c>
      <c r="Z3039" s="2" t="s">
        <v>118</v>
      </c>
      <c r="AA3039" s="2" t="s">
        <v>1312</v>
      </c>
      <c r="AF3039" s="2">
        <f>AJ3039</f>
        <v>0</v>
      </c>
      <c r="AJ3039" s="2">
        <f>AI3039*T3039</f>
        <v>0</v>
      </c>
      <c r="AK3039" s="2">
        <f>T3039-W3039</f>
        <v>0</v>
      </c>
      <c r="AL3039" s="5" t="e">
        <f>(T3039-W3039)/T3039</f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>(T3040-W3040)/T3040</f>
        <v>1</v>
      </c>
      <c r="Z3040" s="2" t="s">
        <v>118</v>
      </c>
      <c r="AA3040" s="2" t="s">
        <v>1312</v>
      </c>
      <c r="AF3040" s="2">
        <f>AJ3040</f>
        <v>0</v>
      </c>
      <c r="AJ3040" s="2">
        <f>AI3040*T3040</f>
        <v>0</v>
      </c>
      <c r="AK3040" s="2">
        <f>T3040-W3040</f>
        <v>940</v>
      </c>
      <c r="AL3040" s="5">
        <f>(T3040-W3040)/T3040</f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>(T3041-W3041)/T3041</f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>AJ3041</f>
        <v>0</v>
      </c>
      <c r="AJ3041" s="2">
        <f>AI3041*T3041</f>
        <v>0</v>
      </c>
      <c r="AK3041" s="2">
        <f>T3041-W3041</f>
        <v>0</v>
      </c>
      <c r="AL3041" s="5">
        <f>(T3041-W3041)/T3041</f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>(T3042-W3042)/T3042</f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>AJ3042</f>
        <v>0</v>
      </c>
      <c r="AJ3042" s="2">
        <f>AI3042*T3042</f>
        <v>0</v>
      </c>
      <c r="AK3042" s="2">
        <f>T3042-W3042</f>
        <v>0</v>
      </c>
      <c r="AL3042" s="5">
        <f>(T3042-W3042)/T3042</f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>(T3043-W3043)/T3043</f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>AJ3043</f>
        <v>0</v>
      </c>
      <c r="AJ3043" s="2">
        <f>AI3043*T3043</f>
        <v>0</v>
      </c>
      <c r="AK3043" s="2">
        <f>T3043-W3043</f>
        <v>0</v>
      </c>
      <c r="AL3043" s="5">
        <f>(T3043-W3043)/T3043</f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>(T3044-W3044)/T3044</f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>AJ3044</f>
        <v>0</v>
      </c>
      <c r="AJ3044" s="2">
        <f>AI3044*T3044</f>
        <v>0</v>
      </c>
      <c r="AK3044" s="2">
        <f>T3044-W3044</f>
        <v>0</v>
      </c>
      <c r="AL3044" s="5">
        <f>(T3044-W3044)/T3044</f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>(T3045-W3045)/T3045</f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>AJ3045</f>
        <v>0</v>
      </c>
      <c r="AJ3045" s="2">
        <f>AI3045*T3045</f>
        <v>0</v>
      </c>
      <c r="AK3045" s="2">
        <f>T3045-W3045</f>
        <v>0</v>
      </c>
      <c r="AL3045" s="5">
        <f>(T3045-W3045)/T3045</f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>(T3046-W3046)/T3046</f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>AJ3046</f>
        <v>0</v>
      </c>
      <c r="AJ3046" s="2">
        <f>AI3046*T3046</f>
        <v>0</v>
      </c>
      <c r="AK3046" s="2">
        <f>T3046-W3046</f>
        <v>0</v>
      </c>
      <c r="AL3046" s="5">
        <f>(T3046-W3046)/T3046</f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>(T3047-W3047)/T3047</f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>AJ3047</f>
        <v>0</v>
      </c>
      <c r="AG3047" s="2">
        <v>7.2217000000000002</v>
      </c>
      <c r="AH3047" s="2">
        <v>14.4</v>
      </c>
      <c r="AJ3047" s="2">
        <f>AI3047*T3047</f>
        <v>0</v>
      </c>
      <c r="AK3047" s="2">
        <f>T3047-W3047</f>
        <v>7.1783000000000001</v>
      </c>
      <c r="AL3047" s="5">
        <f>(T3047-W3047)/T3047</f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>(T3048-W3048)/T3048</f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>AJ3048</f>
        <v>0</v>
      </c>
      <c r="AG3048" s="2">
        <v>1.48</v>
      </c>
      <c r="AH3048" s="2">
        <v>1.48</v>
      </c>
      <c r="AJ3048" s="2">
        <f>AI3048*T3048</f>
        <v>0</v>
      </c>
      <c r="AK3048" s="2">
        <f>T3048-W3048</f>
        <v>0</v>
      </c>
      <c r="AL3048" s="5">
        <f>(T3048-W3048)/T3048</f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>(T3049-W3049)/T3049</f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>AJ3049</f>
        <v>0</v>
      </c>
      <c r="AJ3049" s="2">
        <f>AI3049*T3049</f>
        <v>0</v>
      </c>
      <c r="AK3049" s="2">
        <f>T3049-W3049</f>
        <v>0</v>
      </c>
      <c r="AL3049" s="5">
        <f>(T3049-W3049)/T3049</f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>(T3050-W3050)/T3050</f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>AJ3050</f>
        <v>0</v>
      </c>
      <c r="AJ3050" s="2">
        <f>AI3050*T3050</f>
        <v>0</v>
      </c>
      <c r="AK3050" s="2">
        <f>T3050-W3050</f>
        <v>0</v>
      </c>
      <c r="AL3050" s="5">
        <f>(T3050-W3050)/T3050</f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>(T3051-W3051)/T3051</f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>AJ3051</f>
        <v>0</v>
      </c>
      <c r="AJ3051" s="2">
        <f>AI3051*T3051</f>
        <v>0</v>
      </c>
      <c r="AK3051" s="2">
        <f>T3051-W3051</f>
        <v>0</v>
      </c>
      <c r="AL3051" s="5">
        <f>(T3051-W3051)/T3051</f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>(T3052-W3052)/T3052</f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>AJ3052</f>
        <v>0</v>
      </c>
      <c r="AJ3052" s="2">
        <f>AI3052*T3052</f>
        <v>0</v>
      </c>
      <c r="AK3052" s="2">
        <f>T3052-W3052</f>
        <v>0</v>
      </c>
      <c r="AL3052" s="5">
        <f>(T3052-W3052)/T3052</f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>(T3053-W3053)/T3053</f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>AJ3053</f>
        <v>0</v>
      </c>
      <c r="AJ3053" s="2">
        <f>AI3053*T3053</f>
        <v>0</v>
      </c>
      <c r="AK3053" s="2">
        <f>T3053-W3053</f>
        <v>0</v>
      </c>
      <c r="AL3053" s="5">
        <f>(T3053-W3053)/T3053</f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>(T3054-W3054)/T3054</f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>AJ3054</f>
        <v>0</v>
      </c>
      <c r="AG3054" s="2">
        <v>1.48</v>
      </c>
      <c r="AH3054" s="2">
        <v>1.48</v>
      </c>
      <c r="AJ3054" s="2">
        <f>AI3054*T3054</f>
        <v>0</v>
      </c>
      <c r="AK3054" s="2">
        <f>T3054-W3054</f>
        <v>0</v>
      </c>
      <c r="AL3054" s="5">
        <f>(T3054-W3054)/T3054</f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>(T3055-W3055)/T3055</f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>AJ3055</f>
        <v>0</v>
      </c>
      <c r="AJ3055" s="2">
        <f>AI3055*T3055</f>
        <v>0</v>
      </c>
      <c r="AK3055" s="2">
        <f>T3055-W3055</f>
        <v>0</v>
      </c>
      <c r="AL3055" s="5">
        <f>(T3055-W3055)/T3055</f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>(T3056-W3056)/T3056</f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>AJ3056</f>
        <v>0</v>
      </c>
      <c r="AJ3056" s="2">
        <f>AI3056*T3056</f>
        <v>0</v>
      </c>
      <c r="AK3056" s="2">
        <f>T3056-W3056</f>
        <v>0</v>
      </c>
      <c r="AL3056" s="5">
        <f>(T3056-W3056)/T3056</f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>(T3057-W3057)/T3057</f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>AJ3057</f>
        <v>0</v>
      </c>
      <c r="AJ3057" s="2">
        <f>AI3057*T3057</f>
        <v>0</v>
      </c>
      <c r="AK3057" s="2">
        <f>T3057-W3057</f>
        <v>0</v>
      </c>
      <c r="AL3057" s="5">
        <f>(T3057-W3057)/T3057</f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>(T3058-W3058)/T3058</f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>AJ3058</f>
        <v>0</v>
      </c>
      <c r="AG3058" s="2">
        <v>1.48</v>
      </c>
      <c r="AH3058" s="2">
        <v>1.48</v>
      </c>
      <c r="AJ3058" s="2">
        <f>AI3058*T3058</f>
        <v>0</v>
      </c>
      <c r="AK3058" s="2">
        <f>T3058-W3058</f>
        <v>0</v>
      </c>
      <c r="AL3058" s="5">
        <f>(T3058-W3058)/T3058</f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>(T3059-W3059)/T3059</f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>AJ3059</f>
        <v>0</v>
      </c>
      <c r="AJ3059" s="2">
        <f>AI3059*T3059</f>
        <v>0</v>
      </c>
      <c r="AK3059" s="2">
        <f>T3059-W3059</f>
        <v>0</v>
      </c>
      <c r="AL3059" s="5">
        <f>(T3059-W3059)/T3059</f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>(T3060-W3060)/T3060</f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>AJ3060</f>
        <v>0</v>
      </c>
      <c r="AJ3060" s="2">
        <f>AI3060*T3060</f>
        <v>0</v>
      </c>
      <c r="AK3060" s="2">
        <f>T3060-W3060</f>
        <v>0</v>
      </c>
      <c r="AL3060" s="5">
        <f>(T3060-W3060)/T3060</f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>(T3061-W3061)/T3061</f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>AJ3061</f>
        <v>0</v>
      </c>
      <c r="AJ3061" s="2">
        <f>AI3061*T3061</f>
        <v>0</v>
      </c>
      <c r="AK3061" s="2">
        <f>T3061-W3061</f>
        <v>0</v>
      </c>
      <c r="AL3061" s="5">
        <f>(T3061-W3061)/T3061</f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>(T3062-W3062)/T3062</f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>AJ3062</f>
        <v>0</v>
      </c>
      <c r="AJ3062" s="2">
        <f>AI3062*T3062</f>
        <v>0</v>
      </c>
      <c r="AK3062" s="2">
        <f>T3062-W3062</f>
        <v>0</v>
      </c>
      <c r="AL3062" s="5">
        <f>(T3062-W3062)/T3062</f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>(T3063-W3063)/T3063</f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>AJ3063</f>
        <v>0</v>
      </c>
      <c r="AJ3063" s="2">
        <f>AI3063*T3063</f>
        <v>0</v>
      </c>
      <c r="AK3063" s="2">
        <f>T3063-W3063</f>
        <v>0</v>
      </c>
      <c r="AL3063" s="5">
        <f>(T3063-W3063)/T3063</f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>(T3064-W3064)/T3064</f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>AJ3064</f>
        <v>0</v>
      </c>
      <c r="AG3064" s="2">
        <v>1.48</v>
      </c>
      <c r="AH3064" s="2">
        <v>1.48</v>
      </c>
      <c r="AJ3064" s="2">
        <f>AI3064*T3064</f>
        <v>0</v>
      </c>
      <c r="AK3064" s="2">
        <f>T3064-W3064</f>
        <v>0</v>
      </c>
      <c r="AL3064" s="5">
        <f>(T3064-W3064)/T3064</f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>(T3065-W3065)/T3065</f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>AJ3065</f>
        <v>0</v>
      </c>
      <c r="AJ3065" s="2">
        <f>AI3065*T3065</f>
        <v>0</v>
      </c>
      <c r="AK3065" s="2">
        <f>T3065-W3065</f>
        <v>0</v>
      </c>
      <c r="AL3065" s="5">
        <f>(T3065-W3065)/T3065</f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>(T3066-W3066)/T3066</f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>AJ3066</f>
        <v>0</v>
      </c>
      <c r="AJ3066" s="2">
        <f>AI3066*T3066</f>
        <v>0</v>
      </c>
      <c r="AK3066" s="2">
        <f>T3066-W3066</f>
        <v>0</v>
      </c>
      <c r="AL3066" s="5">
        <f>(T3066-W3066)/T3066</f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>(T3067-W3067)/T3067</f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>AJ3067</f>
        <v>0</v>
      </c>
      <c r="AJ3067" s="2">
        <f>AI3067*T3067</f>
        <v>0</v>
      </c>
      <c r="AK3067" s="2">
        <f>T3067-W3067</f>
        <v>0</v>
      </c>
      <c r="AL3067" s="5">
        <f>(T3067-W3067)/T3067</f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>(T3068-W3068)/T3068</f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>AJ3068</f>
        <v>0</v>
      </c>
      <c r="AJ3068" s="2">
        <f>AI3068*T3068</f>
        <v>0</v>
      </c>
      <c r="AK3068" s="2">
        <f>T3068-W3068</f>
        <v>0</v>
      </c>
      <c r="AL3068" s="5">
        <f>(T3068-W3068)/T3068</f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>(T3069-W3069)/T3069</f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>AJ3069</f>
        <v>0</v>
      </c>
      <c r="AJ3069" s="2">
        <f>AI3069*T3069</f>
        <v>0</v>
      </c>
      <c r="AK3069" s="2">
        <f>T3069-W3069</f>
        <v>0</v>
      </c>
      <c r="AL3069" s="5">
        <f>(T3069-W3069)/T3069</f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>(T3070-W3070)/T3070</f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>AJ3070</f>
        <v>0</v>
      </c>
      <c r="AG3070" s="2">
        <v>1.48</v>
      </c>
      <c r="AH3070" s="2">
        <v>1.48</v>
      </c>
      <c r="AJ3070" s="2">
        <f>AI3070*T3070</f>
        <v>0</v>
      </c>
      <c r="AK3070" s="2">
        <f>T3070-W3070</f>
        <v>0</v>
      </c>
      <c r="AL3070" s="5">
        <f>(T3070-W3070)/T3070</f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>(T3071-W3071)/T3071</f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>AJ3071</f>
        <v>0</v>
      </c>
      <c r="AJ3071" s="2">
        <f>AI3071*T3071</f>
        <v>0</v>
      </c>
      <c r="AK3071" s="2">
        <f>T3071-W3071</f>
        <v>0</v>
      </c>
      <c r="AL3071" s="5">
        <f>(T3071-W3071)/T3071</f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>(T3072-W3072)/T3072</f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>AJ3072</f>
        <v>0</v>
      </c>
      <c r="AJ3072" s="2">
        <f>AI3072*T3072</f>
        <v>0</v>
      </c>
      <c r="AK3072" s="2">
        <f>T3072-W3072</f>
        <v>0</v>
      </c>
      <c r="AL3072" s="5">
        <f>(T3072-W3072)/T3072</f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>(T3073-W3073)/T3073</f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>AJ3073</f>
        <v>0</v>
      </c>
      <c r="AJ3073" s="2">
        <f>AI3073*T3073</f>
        <v>0</v>
      </c>
      <c r="AK3073" s="2">
        <f>T3073-W3073</f>
        <v>0</v>
      </c>
      <c r="AL3073" s="5">
        <f>(T3073-W3073)/T3073</f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>AJ3074</f>
        <v>0</v>
      </c>
      <c r="AJ3074" s="2">
        <f>AI3074*T3074</f>
        <v>0</v>
      </c>
      <c r="AK3074" s="2">
        <f>T3074-W3074</f>
        <v>0</v>
      </c>
      <c r="AL3074" s="5" t="e">
        <f>(T3074-W3074)/T3074</f>
        <v>#DIV/0!</v>
      </c>
    </row>
    <row r="3075" spans="1:38" x14ac:dyDescent="0.2">
      <c r="A3075" s="2">
        <v>2026</v>
      </c>
      <c r="B3075" s="2">
        <v>1</v>
      </c>
      <c r="C3075" s="2" t="s">
        <v>3456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>AJ3075</f>
        <v>0</v>
      </c>
      <c r="AJ3075" s="2">
        <f>AI3075*T3075</f>
        <v>0</v>
      </c>
      <c r="AK3075" s="2">
        <f>T3075-W3075</f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>(T3076-W3076)/T3076</f>
        <v>1</v>
      </c>
      <c r="Z3076" s="2" t="s">
        <v>120</v>
      </c>
      <c r="AA3076" s="2" t="s">
        <v>3384</v>
      </c>
      <c r="AF3076" s="2">
        <f>AJ3076</f>
        <v>0</v>
      </c>
      <c r="AJ3076" s="2">
        <f>AI3076*T3076</f>
        <v>0</v>
      </c>
      <c r="AK3076" s="2">
        <f>T3076-W3076</f>
        <v>2.4500000000000002</v>
      </c>
      <c r="AL3076" s="5">
        <f>(T3076-W3076)/T3076</f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>(T3077-W3077)/T3077</f>
        <v>1</v>
      </c>
      <c r="Z3077" s="2" t="s">
        <v>118</v>
      </c>
      <c r="AA3077" s="2" t="s">
        <v>119</v>
      </c>
      <c r="AF3077" s="2">
        <f>AJ3077</f>
        <v>0</v>
      </c>
      <c r="AJ3077" s="2">
        <f>AI3077*T3077</f>
        <v>0</v>
      </c>
      <c r="AK3077" s="2">
        <f>T3077-W3077</f>
        <v>2296.8000000000002</v>
      </c>
      <c r="AL3077" s="5">
        <f>(T3077-W3077)/T3077</f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>(T3078-W3078)/T3078</f>
        <v>1</v>
      </c>
      <c r="Z3078" s="2" t="s">
        <v>3231</v>
      </c>
      <c r="AA3078" s="2" t="s">
        <v>120</v>
      </c>
      <c r="AF3078" s="2">
        <f>AJ3078</f>
        <v>0</v>
      </c>
      <c r="AJ3078" s="2">
        <f>AI3078*T3078</f>
        <v>0</v>
      </c>
      <c r="AK3078" s="2">
        <f>T3078-W3078</f>
        <v>267.8</v>
      </c>
      <c r="AL3078" s="5">
        <f>(T3078-W3078)/T3078</f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>(T3079-W3079)/T3079</f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>AJ3079</f>
        <v>0</v>
      </c>
      <c r="AG3079" s="2">
        <v>5.35</v>
      </c>
      <c r="AJ3079" s="2">
        <f>AI3079*T3079</f>
        <v>0</v>
      </c>
      <c r="AK3079" s="2">
        <f>T3079-W3079</f>
        <v>5.9</v>
      </c>
      <c r="AL3079" s="5">
        <f>(T3079-W3079)/T3079</f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>(T3080-W3080)/T3080</f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>AJ3080</f>
        <v>0</v>
      </c>
      <c r="AG3080" s="2">
        <v>136.38999999999999</v>
      </c>
      <c r="AJ3080" s="2">
        <f>AI3080*T3080</f>
        <v>0</v>
      </c>
      <c r="AK3080" s="2">
        <f>T3080-W3080</f>
        <v>145.72000000000003</v>
      </c>
      <c r="AL3080" s="5">
        <f>(T3080-W3080)/T3080</f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>(T3081-W3081)/T3081</f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>AJ3081</f>
        <v>0</v>
      </c>
      <c r="AG3081" s="2">
        <v>17.9434</v>
      </c>
      <c r="AJ3081" s="2">
        <f>AI3081*T3081</f>
        <v>0</v>
      </c>
      <c r="AK3081" s="2">
        <f>T3081-W3081</f>
        <v>21.106599999999997</v>
      </c>
      <c r="AL3081" s="5">
        <f>(T3081-W3081)/T3081</f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>(T3082-W3082)/T3082</f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>AJ3082</f>
        <v>0</v>
      </c>
      <c r="AG3082" s="2">
        <v>25.157499999999999</v>
      </c>
      <c r="AJ3082" s="2">
        <f>AI3082*T3082</f>
        <v>0</v>
      </c>
      <c r="AK3082" s="2">
        <f>T3082-W3082</f>
        <v>26.452500000000001</v>
      </c>
      <c r="AL3082" s="5">
        <f>(T3082-W3082)/T3082</f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>(T3083-W3083)/T3083</f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>AJ3083</f>
        <v>0</v>
      </c>
      <c r="AG3083" s="2">
        <v>27.86</v>
      </c>
      <c r="AJ3083" s="2">
        <f>AI3083*T3083</f>
        <v>0</v>
      </c>
      <c r="AK3083" s="2">
        <f>T3083-W3083</f>
        <v>61.769999999999996</v>
      </c>
      <c r="AL3083" s="5">
        <f>(T3083-W3083)/T3083</f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>(T3084-W3084)/T3084</f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>AJ3084</f>
        <v>0</v>
      </c>
      <c r="AG3084" s="2">
        <v>7.2733999999999996</v>
      </c>
      <c r="AJ3084" s="2">
        <f>AI3084*T3084</f>
        <v>0</v>
      </c>
      <c r="AK3084" s="2">
        <f>T3084-W3084</f>
        <v>5.6866000000000012</v>
      </c>
      <c r="AL3084" s="5">
        <f>(T3084-W3084)/T3084</f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>AJ3085</f>
        <v>0</v>
      </c>
      <c r="AG3085" s="2">
        <v>11.246700000000001</v>
      </c>
      <c r="AJ3085" s="2">
        <f>AI3085*T3085</f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>AJ3086</f>
        <v>0</v>
      </c>
      <c r="AG3086" s="2">
        <v>11.246700000000001</v>
      </c>
      <c r="AJ3086" s="2">
        <f>AI3086*T3086</f>
        <v>0</v>
      </c>
      <c r="AK3086" s="2">
        <f>T3086-W3086</f>
        <v>12.543299999999999</v>
      </c>
      <c r="AL3086" s="5">
        <f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>AJ3087</f>
        <v>0</v>
      </c>
      <c r="AG3087" s="2">
        <v>38.56</v>
      </c>
      <c r="AJ3087" s="2">
        <f>AI3087*T3087</f>
        <v>0</v>
      </c>
      <c r="AK3087" s="2">
        <f>T3087-W3087</f>
        <v>28.289999999999992</v>
      </c>
      <c r="AL3087" s="5">
        <f>(T3087-W3087)/T3087</f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>AJ3088</f>
        <v>0</v>
      </c>
      <c r="AG3088" s="2">
        <v>84.95</v>
      </c>
      <c r="AJ3088" s="2">
        <f>AI3088*T3088</f>
        <v>0</v>
      </c>
      <c r="AK3088" s="2">
        <f>T3088-W3088</f>
        <v>66.95</v>
      </c>
      <c r="AL3088" s="5">
        <f>(T3088-W3088)/T3088</f>
        <v>0.44075049374588543</v>
      </c>
    </row>
    <row r="3089" spans="1:38" x14ac:dyDescent="0.2">
      <c r="A3089" s="2">
        <v>2026</v>
      </c>
      <c r="B3089" s="2">
        <v>2</v>
      </c>
      <c r="C3089" s="2" t="s">
        <v>3459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>AJ3089</f>
        <v>0</v>
      </c>
      <c r="AG3089" s="2">
        <v>314.88499999999999</v>
      </c>
      <c r="AJ3089" s="2">
        <f>AI3089*T3089</f>
        <v>0</v>
      </c>
      <c r="AK3089" s="2">
        <f>T3089-W3089</f>
        <v>229.67499999999995</v>
      </c>
      <c r="AL3089" s="5">
        <f>(T3089-W3089)/T3089</f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>AJ3090</f>
        <v>0</v>
      </c>
      <c r="AJ3090" s="2">
        <f>AI3090*T3090</f>
        <v>0</v>
      </c>
      <c r="AK3090" s="2">
        <f>T3090-W3090</f>
        <v>0</v>
      </c>
      <c r="AL3090" s="5" t="e">
        <f>(T3090-W3090)/T3090</f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>AJ3091</f>
        <v>0</v>
      </c>
      <c r="AG3091" s="2">
        <v>246.77</v>
      </c>
      <c r="AJ3091" s="2">
        <f>AI3091*T3091</f>
        <v>0</v>
      </c>
      <c r="AK3091" s="2">
        <f>T3091-W3091</f>
        <v>271.52</v>
      </c>
      <c r="AL3091" s="5">
        <f>(T3091-W3091)/T3091</f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>(T3092-W3092)/T3092</f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>AJ3092</f>
        <v>0</v>
      </c>
      <c r="AG3092" s="2">
        <v>615.6</v>
      </c>
      <c r="AJ3092" s="2">
        <f>AI3092*T3092</f>
        <v>0</v>
      </c>
      <c r="AK3092" s="2">
        <f>T3092-W3092</f>
        <v>174.39999999999998</v>
      </c>
      <c r="AL3092" s="5">
        <f>(T3092-W3092)/T3092</f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>(T3093-W3093)/T3093</f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>AJ3093</f>
        <v>0</v>
      </c>
      <c r="AG3093" s="2">
        <f>14.4+0.27</f>
        <v>14.67</v>
      </c>
      <c r="AJ3093" s="2">
        <f>AI3093*T3093</f>
        <v>0</v>
      </c>
      <c r="AK3093" s="2">
        <f>T3093-W3093</f>
        <v>30.509999999999998</v>
      </c>
      <c r="AL3093" s="5">
        <f>(T3093-W3093)/T3093</f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>(T3094-W3094)/T3094</f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>AJ3094</f>
        <v>0</v>
      </c>
      <c r="AG3094" s="2">
        <v>37.96</v>
      </c>
      <c r="AJ3094" s="2">
        <f>AI3094*T3094</f>
        <v>0</v>
      </c>
      <c r="AK3094" s="2">
        <f>T3094-W3094</f>
        <v>39.520000000000003</v>
      </c>
      <c r="AL3094" s="5">
        <f>(T3094-W3094)/T3094</f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>(T3095-W3095)/T3095</f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>AJ3095</f>
        <v>0</v>
      </c>
      <c r="AG3095" s="2">
        <v>222.18</v>
      </c>
      <c r="AJ3095" s="2">
        <f>AI3095*T3095</f>
        <v>0</v>
      </c>
      <c r="AK3095" s="2">
        <f>T3095-W3095</f>
        <v>244.39999999999998</v>
      </c>
      <c r="AL3095" s="5">
        <f>(T3095-W3095)/T3095</f>
        <v>0.52381156500492942</v>
      </c>
    </row>
    <row r="3096" spans="1:38" x14ac:dyDescent="0.2">
      <c r="A3096" s="2">
        <v>2026</v>
      </c>
      <c r="B3096" s="2">
        <v>2</v>
      </c>
      <c r="C3096" s="2" t="s">
        <v>3459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>(T3096-W3096)/T3096</f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>AJ3096</f>
        <v>0</v>
      </c>
      <c r="AG3096" s="2">
        <v>342.22</v>
      </c>
      <c r="AJ3096" s="2">
        <f>AI3096*T3096</f>
        <v>0</v>
      </c>
      <c r="AK3096" s="2">
        <f>T3096-W3096</f>
        <v>120.4966</v>
      </c>
      <c r="AL3096" s="5">
        <f>(T3096-W3096)/T3096</f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>(T3097-W3097)/T3097</f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>AJ3097</f>
        <v>0</v>
      </c>
      <c r="AG3097" s="2">
        <v>343.38569999999999</v>
      </c>
      <c r="AJ3097" s="2">
        <f>AI3097*T3097</f>
        <v>0</v>
      </c>
      <c r="AK3097" s="2">
        <f>T3097-W3097</f>
        <v>355.72999999999996</v>
      </c>
      <c r="AL3097" s="5">
        <f>(T3097-W3097)/T3097</f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>(T3098-W3098)/T3098</f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>AJ3098</f>
        <v>0</v>
      </c>
      <c r="AG3098" s="2">
        <v>343.38569999999999</v>
      </c>
      <c r="AJ3098" s="2">
        <f>AI3098*T3098</f>
        <v>0</v>
      </c>
      <c r="AK3098" s="2">
        <f>T3098-W3098</f>
        <v>511.62860000000001</v>
      </c>
      <c r="AL3098" s="5">
        <f>(T3098-W3098)/T3098</f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>AJ3099</f>
        <v>0</v>
      </c>
      <c r="AG3099" s="2">
        <v>343.38569999999999</v>
      </c>
      <c r="AJ3099" s="2">
        <f>AI3099*T3099</f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>AJ3100</f>
        <v>0</v>
      </c>
      <c r="AG3100" s="2">
        <v>343.38569999999999</v>
      </c>
      <c r="AJ3100" s="2">
        <f>AI3100*T3100</f>
        <v>0</v>
      </c>
      <c r="AK3100" s="2">
        <f>T3100-W3100</f>
        <v>352.72999999999996</v>
      </c>
      <c r="AL3100" s="5">
        <f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>(T3101-W3101)/T3101</f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>AJ3101</f>
        <v>0</v>
      </c>
      <c r="AG3101" s="2">
        <f>868.26+3.61</f>
        <v>871.87</v>
      </c>
      <c r="AJ3101" s="2">
        <f>AI3101*T3101</f>
        <v>0</v>
      </c>
      <c r="AK3101" s="2">
        <f>T3101-W3101</f>
        <v>729.11</v>
      </c>
      <c r="AL3101" s="5">
        <f>(T3101-W3101)/T3101</f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>(T3102-W3102)/T3102</f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>AJ3102</f>
        <v>0</v>
      </c>
      <c r="AG3102" s="2">
        <v>102.88249999999999</v>
      </c>
      <c r="AJ3102" s="2">
        <f>AI3102*T3102</f>
        <v>0</v>
      </c>
      <c r="AK3102" s="2">
        <f>T3102-W3102</f>
        <v>112.075</v>
      </c>
      <c r="AL3102" s="5">
        <f>(T3102-W3102)/T3102</f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>(T3103-W3103)/T3103</f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>AJ3103</f>
        <v>0</v>
      </c>
      <c r="AG3103" s="2">
        <v>15</v>
      </c>
      <c r="AJ3103" s="2">
        <f>AI3103*T3103</f>
        <v>0</v>
      </c>
      <c r="AK3103" s="2">
        <f>T3103-W3103</f>
        <v>13.350000000000001</v>
      </c>
      <c r="AL3103" s="5">
        <f>(T3103-W3103)/T3103</f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>(T3104-W3104)/T3104</f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>AJ3104</f>
        <v>0</v>
      </c>
      <c r="AG3104" s="2">
        <v>43.23</v>
      </c>
      <c r="AJ3104" s="2">
        <f>AI3104*T3104</f>
        <v>0</v>
      </c>
      <c r="AK3104" s="2">
        <f>T3104-W3104</f>
        <v>44.07</v>
      </c>
      <c r="AL3104" s="5">
        <f>(T3104-W3104)/T3104</f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>(T3105-W3105)/T3105</f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>AJ3105</f>
        <v>0</v>
      </c>
      <c r="AJ3105" s="2">
        <f>AI3105*T3105</f>
        <v>0</v>
      </c>
      <c r="AK3105" s="2">
        <f>T3105-W3105</f>
        <v>349.77</v>
      </c>
      <c r="AL3105" s="5">
        <f>(T3105-W3105)/T3105</f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>(T3106-W3106)/T3106</f>
        <v>1</v>
      </c>
      <c r="Z3106" s="2" t="s">
        <v>118</v>
      </c>
      <c r="AF3106" s="2">
        <f>AJ3106</f>
        <v>0</v>
      </c>
      <c r="AJ3106" s="2">
        <f>AI3106*T3106</f>
        <v>0</v>
      </c>
      <c r="AK3106" s="2">
        <f>T3106-W3106</f>
        <v>60.1</v>
      </c>
      <c r="AL3106" s="5">
        <f>(T3106-W3106)/T3106</f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>(T3107-W3107)/T3107</f>
        <v>1</v>
      </c>
      <c r="Z3107" s="2" t="s">
        <v>118</v>
      </c>
      <c r="AF3107" s="2">
        <f>AJ3107</f>
        <v>0</v>
      </c>
      <c r="AJ3107" s="2">
        <f>AI3107*T3107</f>
        <v>0</v>
      </c>
      <c r="AK3107" s="2">
        <f>T3107-W3107</f>
        <v>3754.3</v>
      </c>
      <c r="AL3107" s="5">
        <f>(T3107-W3107)/T3107</f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>(T3108-W3108)/T3108</f>
        <v>1</v>
      </c>
      <c r="Z3108" s="2" t="s">
        <v>118</v>
      </c>
      <c r="AF3108" s="2">
        <f>AJ3108</f>
        <v>0</v>
      </c>
      <c r="AJ3108" s="2">
        <f>AI3108*T3108</f>
        <v>0</v>
      </c>
      <c r="AK3108" s="2">
        <f>T3108-W3108</f>
        <v>79.47</v>
      </c>
      <c r="AL3108" s="5">
        <f>(T3108-W3108)/T3108</f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>(T3109-W3109)/T3109</f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>AJ3109</f>
        <v>0</v>
      </c>
      <c r="AG3109" s="2">
        <v>25.2</v>
      </c>
      <c r="AJ3109" s="2">
        <f>AI3109*T3109</f>
        <v>0</v>
      </c>
      <c r="AK3109" s="2">
        <f>T3109-W3109</f>
        <v>54.269999999999996</v>
      </c>
      <c r="AL3109" s="5">
        <f>(T3109-W3109)/T3109</f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>AJ3110</f>
        <v>0</v>
      </c>
      <c r="AJ3110" s="2">
        <f>AI3110*T3110</f>
        <v>0</v>
      </c>
      <c r="AK3110" s="2">
        <f>T3110-W3110</f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>(T3111-W3111)/T3111</f>
        <v>1</v>
      </c>
      <c r="Z3111" s="2" t="s">
        <v>118</v>
      </c>
      <c r="AF3111" s="2">
        <f>AJ3111</f>
        <v>0</v>
      </c>
      <c r="AJ3111" s="2">
        <f>AI3111*T3111</f>
        <v>0</v>
      </c>
      <c r="AK3111" s="2">
        <f>T3111-W3111</f>
        <v>1594.72</v>
      </c>
      <c r="AL3111" s="5">
        <f>(T3111-W3111)/T3111</f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>(T3112-W3112)/T3112</f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>AJ3112</f>
        <v>0</v>
      </c>
      <c r="AG3112" s="2">
        <v>7437.5950000000003</v>
      </c>
      <c r="AJ3112" s="2">
        <f>AI3112*T3112</f>
        <v>0</v>
      </c>
      <c r="AK3112" s="2">
        <f>T3112-W3112</f>
        <v>4552.4049999999997</v>
      </c>
      <c r="AL3112" s="5">
        <f>(T3112-W3112)/T3112</f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>(T3113-W3113)/T3113</f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>AJ3113</f>
        <v>0</v>
      </c>
      <c r="AJ3113" s="2">
        <f>AI3113*T3113</f>
        <v>0</v>
      </c>
      <c r="AK3113" s="2">
        <f>T3113-W3113</f>
        <v>4400.1200000000008</v>
      </c>
      <c r="AL3113" s="5">
        <f>(T3113-W3113)/T3113</f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>(T3114-W3114)/T3114</f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>AJ3114</f>
        <v>0</v>
      </c>
      <c r="AG3114" s="2">
        <f>6193.4+275.33</f>
        <v>6468.73</v>
      </c>
      <c r="AJ3114" s="2">
        <f>AI3114*T3114</f>
        <v>0</v>
      </c>
      <c r="AK3114" s="2">
        <f>T3114-W3114</f>
        <v>2461.2700000000004</v>
      </c>
      <c r="AL3114" s="5">
        <f>(T3114-W3114)/T3114</f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>(T3115-W3115)/T3115</f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>AJ3115</f>
        <v>0</v>
      </c>
      <c r="AG3115" s="2">
        <v>6468.73</v>
      </c>
      <c r="AJ3115" s="2">
        <f>AI3115*T3115</f>
        <v>0</v>
      </c>
      <c r="AK3115" s="2">
        <f>T3115-W3115</f>
        <v>2461.2700000000004</v>
      </c>
      <c r="AL3115" s="5">
        <f>(T3115-W3115)/T3115</f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>(T3116-W3116)/T3116</f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>AJ3116</f>
        <v>0</v>
      </c>
      <c r="AG3116" s="2">
        <v>6468.73</v>
      </c>
      <c r="AJ3116" s="2">
        <f>AI3116*T3116</f>
        <v>0</v>
      </c>
      <c r="AK3116" s="2">
        <f>T3116-W3116</f>
        <v>2461.2700000000004</v>
      </c>
      <c r="AL3116" s="5">
        <f>(T3116-W3116)/T3116</f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>(T3117-W3117)/T3117</f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>AJ3117</f>
        <v>0</v>
      </c>
      <c r="AG3117" s="2">
        <f>3130.82+148.37</f>
        <v>3279.19</v>
      </c>
      <c r="AJ3117" s="2">
        <f>AI3117*T3117</f>
        <v>0</v>
      </c>
      <c r="AK3117" s="2">
        <f>T3117-W3117</f>
        <v>1192.3600000000001</v>
      </c>
      <c r="AL3117" s="5">
        <f>(T3117-W3117)/T3117</f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>(T3118-W3118)/T3118</f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>AJ3118</f>
        <v>0</v>
      </c>
      <c r="AG3118" s="2">
        <v>3345.125</v>
      </c>
      <c r="AJ3118" s="2">
        <f>AI3118*T3118</f>
        <v>0</v>
      </c>
      <c r="AK3118" s="2">
        <f>T3118-W3118</f>
        <v>944.88000000000011</v>
      </c>
      <c r="AL3118" s="5">
        <f>(T3118-W3118)/T3118</f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>(T3119-W3119)/T3119</f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>AJ3119</f>
        <v>0</v>
      </c>
      <c r="AG3119" s="2">
        <f>4893.23+171</f>
        <v>5064.2299999999996</v>
      </c>
      <c r="AJ3119" s="2">
        <f>AI3119*T3119</f>
        <v>0</v>
      </c>
      <c r="AK3119" s="2">
        <f>T3119-W3119</f>
        <v>2925.7700000000004</v>
      </c>
      <c r="AL3119" s="5">
        <f>(T3119-W3119)/T3119</f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>(T3120-W3120)/T3120</f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>AJ3120</f>
        <v>0</v>
      </c>
      <c r="AG3120" s="2">
        <v>23.9572</v>
      </c>
      <c r="AJ3120" s="2">
        <f>AI3120*T3120</f>
        <v>0</v>
      </c>
      <c r="AK3120" s="2">
        <f>T3120-W3120</f>
        <v>44.902799999999999</v>
      </c>
      <c r="AL3120" s="5">
        <f>(T3120-W3120)/T3120</f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>(T3121-W3121)/T3121</f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>AJ3121</f>
        <v>0</v>
      </c>
      <c r="AG3121" s="2">
        <v>23.9572</v>
      </c>
      <c r="AJ3121" s="2">
        <f>AI3121*T3121</f>
        <v>0</v>
      </c>
      <c r="AK3121" s="2">
        <f>T3121-W3121</f>
        <v>44.902799999999999</v>
      </c>
      <c r="AL3121" s="5">
        <f>(T3121-W3121)/T3121</f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>(T3122-W3122)/T3122</f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>AJ3122</f>
        <v>0</v>
      </c>
      <c r="AG3122" s="2">
        <v>10.15</v>
      </c>
      <c r="AJ3122" s="2">
        <f>AI3122*T3122</f>
        <v>0</v>
      </c>
      <c r="AK3122" s="2">
        <f>T3122-W3122</f>
        <v>58.71</v>
      </c>
      <c r="AL3122" s="5">
        <f>(T3122-W3122)/T3122</f>
        <v>0.8525994772001162</v>
      </c>
    </row>
    <row r="3123" spans="1:38" x14ac:dyDescent="0.2">
      <c r="A3123" s="2">
        <v>2026</v>
      </c>
      <c r="B3123" s="2">
        <v>2</v>
      </c>
      <c r="C3123" s="2" t="s">
        <v>3416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>(T3123-W3123)/T3123</f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>AJ3123</f>
        <v>0</v>
      </c>
      <c r="AJ3123" s="2">
        <f>AI3123*T3123</f>
        <v>0</v>
      </c>
      <c r="AK3123" s="2">
        <f>T3123-W3123</f>
        <v>9.9999999999999645E-2</v>
      </c>
      <c r="AL3123" s="5">
        <f>(T3123-W3123)/T3123</f>
        <v>6.6666666666666428E-3</v>
      </c>
    </row>
    <row r="3124" spans="1:38" x14ac:dyDescent="0.2">
      <c r="A3124" s="2">
        <v>2026</v>
      </c>
      <c r="B3124" s="2">
        <v>2</v>
      </c>
      <c r="C3124" s="2" t="s">
        <v>3416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>(T3124-W3124)/T3124</f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>AJ3124</f>
        <v>0</v>
      </c>
      <c r="AJ3124" s="2">
        <f>AI3124*T3124</f>
        <v>0</v>
      </c>
      <c r="AK3124" s="2">
        <f>T3124-W3124</f>
        <v>1</v>
      </c>
      <c r="AL3124" s="5">
        <f>(T3124-W3124)/T3124</f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>(T3125-W3125)/T3125</f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>AJ3125</f>
        <v>0</v>
      </c>
      <c r="AG3125" s="2">
        <v>759</v>
      </c>
      <c r="AJ3125" s="2">
        <f>AI3125*T3125</f>
        <v>0</v>
      </c>
      <c r="AK3125" s="2">
        <f>T3125-W3125</f>
        <v>31</v>
      </c>
      <c r="AL3125" s="5">
        <f>(T3125-W3125)/T3125</f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>(T3126-W3126)/T3126</f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>AJ3126</f>
        <v>0</v>
      </c>
      <c r="AG3126" s="2">
        <v>297</v>
      </c>
      <c r="AH3126" s="2">
        <v>595</v>
      </c>
      <c r="AJ3126" s="2">
        <f>AI3126*T3126</f>
        <v>0</v>
      </c>
      <c r="AK3126" s="2">
        <f>T3126-W3126</f>
        <v>298</v>
      </c>
      <c r="AL3126" s="5">
        <f>(T3126-W3126)/T3126</f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>(T3127-W3127)/T3127</f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>AJ3127</f>
        <v>0</v>
      </c>
      <c r="AG3127" s="2">
        <v>297</v>
      </c>
      <c r="AH3127" s="2">
        <v>595</v>
      </c>
      <c r="AJ3127" s="2">
        <f>AI3127*T3127</f>
        <v>0</v>
      </c>
      <c r="AK3127" s="2">
        <f>T3127-W3127</f>
        <v>298</v>
      </c>
      <c r="AL3127" s="5">
        <f>(T3127-W3127)/T3127</f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>(T3128-W3128)/T3128</f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>AJ3128</f>
        <v>0</v>
      </c>
      <c r="AG3128" s="2">
        <v>297</v>
      </c>
      <c r="AH3128" s="2">
        <v>595</v>
      </c>
      <c r="AJ3128" s="2">
        <f>AI3128*T3128</f>
        <v>0</v>
      </c>
      <c r="AK3128" s="2">
        <f>T3128-W3128</f>
        <v>298</v>
      </c>
      <c r="AL3128" s="5">
        <f>(T3128-W3128)/T3128</f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>14.5099*S3129</f>
        <v>159.60890000000001</v>
      </c>
      <c r="X3129" s="5">
        <f>(T3129-W3129)/T3129</f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>AJ3129</f>
        <v>0</v>
      </c>
      <c r="AJ3129" s="2">
        <f>AI3129*T3129</f>
        <v>0</v>
      </c>
      <c r="AK3129" s="2">
        <f>T3129-W3129</f>
        <v>40.391099999999994</v>
      </c>
      <c r="AL3129" s="5">
        <f>(T3129-W3129)/T3129</f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>14.5099*S3130</f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>AJ3130</f>
        <v>0</v>
      </c>
      <c r="AJ3130" s="2">
        <f>AI3130*T3130</f>
        <v>0</v>
      </c>
      <c r="AK3130" s="2">
        <f>T3130-W3130</f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>14.5099*S3131</f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>AJ3131</f>
        <v>0</v>
      </c>
      <c r="AJ3131" s="2">
        <f>AI3131*T3131</f>
        <v>0</v>
      </c>
      <c r="AK3131" s="2">
        <f>T3131-W3131</f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>14.5099*S3132</f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>AJ3132</f>
        <v>0</v>
      </c>
      <c r="AJ3132" s="2">
        <f>AI3132*T3132</f>
        <v>0</v>
      </c>
      <c r="AK3132" s="2">
        <f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>14.5099*S3133</f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>AJ3133</f>
        <v>0</v>
      </c>
      <c r="AJ3133" s="2">
        <f>AI3133*T3133</f>
        <v>0</v>
      </c>
      <c r="AK3133" s="2">
        <f>T3133-W3133</f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>14.5099*S3134</f>
        <v>145.09899999999999</v>
      </c>
      <c r="X3134" s="5">
        <f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>AJ3134</f>
        <v>0</v>
      </c>
      <c r="AJ3134" s="2">
        <f>AI3134*T3134</f>
        <v>0</v>
      </c>
      <c r="AK3134" s="2">
        <f>T3134-W3134</f>
        <v>54.90100000000001</v>
      </c>
      <c r="AL3134" s="5">
        <f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1103</v>
      </c>
      <c r="J3135" s="2" t="s">
        <v>1104</v>
      </c>
      <c r="L3135" s="2" t="s">
        <v>178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>(T3135-W3135)/T3135</f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>AJ3135</f>
        <v>0</v>
      </c>
      <c r="AG3135" s="2">
        <v>10.67</v>
      </c>
      <c r="AH3135" s="2">
        <v>21</v>
      </c>
      <c r="AJ3135" s="2">
        <f>AI3135*T3135</f>
        <v>0</v>
      </c>
      <c r="AK3135" s="2">
        <f>T3135-W3135</f>
        <v>20.66</v>
      </c>
      <c r="AL3135" s="5">
        <f>(T3135-W3135)/T3135</f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>6.6267*S3136</f>
        <v>6.6266999999999996</v>
      </c>
      <c r="X3136" s="5">
        <f>(T3136-W3136)/T3136</f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>AJ3136</f>
        <v>0</v>
      </c>
      <c r="AG3136" s="2">
        <v>6.6266999999999996</v>
      </c>
      <c r="AH3136" s="2">
        <v>12</v>
      </c>
      <c r="AJ3136" s="2">
        <f>AI3136*T3136</f>
        <v>0</v>
      </c>
      <c r="AK3136" s="2">
        <f>T3136-W3136</f>
        <v>5.3733000000000004</v>
      </c>
      <c r="AL3136" s="5">
        <f>(T3136-W3136)/T3136</f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>6.6267*S3137</f>
        <v>6.6266999999999996</v>
      </c>
      <c r="X3137" s="5">
        <f>(T3137-W3137)/T3137</f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>AJ3137</f>
        <v>0</v>
      </c>
      <c r="AG3137" s="2">
        <v>6.6266999999999996</v>
      </c>
      <c r="AH3137" s="2">
        <v>12</v>
      </c>
      <c r="AJ3137" s="2">
        <f>AI3137*T3137</f>
        <v>0</v>
      </c>
      <c r="AK3137" s="2">
        <f>T3137-W3137</f>
        <v>6.3733000000000004</v>
      </c>
      <c r="AL3137" s="5">
        <f>(T3137-W3137)/T3137</f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>6.6267*S3138</f>
        <v>13.253399999999999</v>
      </c>
      <c r="X3138" s="5">
        <f>(T3138-W3138)/T3138</f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>AJ3138</f>
        <v>0</v>
      </c>
      <c r="AG3138" s="2">
        <v>6.6266999999999996</v>
      </c>
      <c r="AH3138" s="2">
        <v>12</v>
      </c>
      <c r="AJ3138" s="2">
        <f>AI3138*T3138</f>
        <v>0</v>
      </c>
      <c r="AK3138" s="2">
        <f>T3138-W3138</f>
        <v>10.746600000000001</v>
      </c>
      <c r="AL3138" s="5">
        <f>(T3138-W3138)/T3138</f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>6.6267*S3139</f>
        <v>19.880099999999999</v>
      </c>
      <c r="X3139" s="5">
        <f>(T3139-W3139)/T3139</f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>AJ3139</f>
        <v>0</v>
      </c>
      <c r="AG3139" s="2">
        <v>6.6266999999999996</v>
      </c>
      <c r="AH3139" s="2">
        <v>12</v>
      </c>
      <c r="AJ3139" s="2">
        <f>AI3139*T3139</f>
        <v>0</v>
      </c>
      <c r="AK3139" s="2">
        <f>T3139-W3139</f>
        <v>16.119900000000001</v>
      </c>
      <c r="AL3139" s="5">
        <f>(T3139-W3139)/T3139</f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>6.6267*S3140</f>
        <v>13.253399999999999</v>
      </c>
      <c r="X3140" s="5">
        <f>(T3140-W3140)/T3140</f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>AJ3140</f>
        <v>0</v>
      </c>
      <c r="AG3140" s="2">
        <v>6.6266999999999996</v>
      </c>
      <c r="AH3140" s="2">
        <v>12</v>
      </c>
      <c r="AJ3140" s="2">
        <f>AI3140*T3140</f>
        <v>0</v>
      </c>
      <c r="AK3140" s="2">
        <f>T3140-W3140</f>
        <v>10.746600000000001</v>
      </c>
      <c r="AL3140" s="5">
        <f>(T3140-W3140)/T3140</f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>6.6267*S3141</f>
        <v>6.6266999999999996</v>
      </c>
      <c r="X3141" s="5">
        <f>(T3141-W3141)/T3141</f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>AJ3141</f>
        <v>0</v>
      </c>
      <c r="AG3141" s="2">
        <v>6.6266999999999996</v>
      </c>
      <c r="AH3141" s="2">
        <v>12</v>
      </c>
      <c r="AJ3141" s="2">
        <f>AI3141*T3141</f>
        <v>0</v>
      </c>
      <c r="AK3141" s="2">
        <f>T3141-W3141</f>
        <v>5.3733000000000004</v>
      </c>
      <c r="AL3141" s="5">
        <f>(T3141-W3141)/T3141</f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>(T3142-W3142)/T3142</f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>AJ3142</f>
        <v>0</v>
      </c>
      <c r="AJ3142" s="2">
        <f>AI3142*T3142</f>
        <v>0</v>
      </c>
      <c r="AK3142" s="2">
        <f>T3142-W3142</f>
        <v>24.450000000000003</v>
      </c>
      <c r="AL3142" s="5">
        <f>(T3142-W3142)/T3142</f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>(T3143-W3143)/T3143</f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>AJ3143</f>
        <v>0</v>
      </c>
      <c r="AJ3143" s="2">
        <f>AI3143*T3143</f>
        <v>0</v>
      </c>
      <c r="AK3143" s="2">
        <f>T3143-W3143</f>
        <v>24.450000000000003</v>
      </c>
      <c r="AL3143" s="5">
        <f>(T3143-W3143)/T3143</f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>(T3144-W3144)/T3144</f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>AJ3144</f>
        <v>0</v>
      </c>
      <c r="AJ3144" s="2">
        <f>AI3144*T3144</f>
        <v>0</v>
      </c>
      <c r="AK3144" s="2">
        <f>T3144-W3144</f>
        <v>49.41</v>
      </c>
      <c r="AL3144" s="5">
        <f>(T3144-W3144)/T3144</f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>(T3145-W3145)/T3145</f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>AJ3145</f>
        <v>0</v>
      </c>
      <c r="AJ3145" s="2">
        <f>AI3145*T3145</f>
        <v>0</v>
      </c>
      <c r="AK3145" s="2">
        <f>T3145-W3145</f>
        <v>24.704999999999998</v>
      </c>
      <c r="AL3145" s="5">
        <f>(T3145-W3145)/T3145</f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>(T3146-W3146)/T3146</f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>AJ3146</f>
        <v>0</v>
      </c>
      <c r="AG3146" s="2">
        <v>3.7357999999999998</v>
      </c>
      <c r="AH3146" s="2">
        <v>9</v>
      </c>
      <c r="AJ3146" s="2">
        <f>AI3146*T3146</f>
        <v>0</v>
      </c>
      <c r="AK3146" s="2">
        <f>T3146-W3146</f>
        <v>26.921000000000003</v>
      </c>
      <c r="AL3146" s="5">
        <f>(T3146-W3146)/T3146</f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>(T3147-W3147)/T3147</f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>AJ3147</f>
        <v>0</v>
      </c>
      <c r="AJ3147" s="2">
        <f>AI3147*T3147</f>
        <v>0</v>
      </c>
      <c r="AK3147" s="2">
        <f>T3147-W3147</f>
        <v>8.3249999999999993</v>
      </c>
      <c r="AL3147" s="5">
        <f>(T3147-W3147)/T3147</f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>(T3148-W3148)/T3148</f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>AJ3148</f>
        <v>0</v>
      </c>
      <c r="AG3148" s="2">
        <v>5.9066999999999998</v>
      </c>
      <c r="AH3148" s="2">
        <v>12.6</v>
      </c>
      <c r="AJ3148" s="2">
        <f>AI3148*T3148</f>
        <v>0</v>
      </c>
      <c r="AK3148" s="2">
        <f>T3148-W3148</f>
        <v>6.6932999999999998</v>
      </c>
      <c r="AL3148" s="5">
        <f>(T3148-W3148)/T3148</f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>(T3149-W3149)/T3149</f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>AJ3149</f>
        <v>0</v>
      </c>
      <c r="AJ3149" s="2">
        <f>AI3149*T3149</f>
        <v>0</v>
      </c>
      <c r="AK3149" s="2">
        <f>T3149-W3149</f>
        <v>21</v>
      </c>
      <c r="AL3149" s="5">
        <f>(T3149-W3149)/T3149</f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>(T3150-W3150)/T3150</f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>AJ3150</f>
        <v>0</v>
      </c>
      <c r="AG3150" s="2">
        <v>7.2217000000000002</v>
      </c>
      <c r="AH3150" s="2">
        <v>14.4</v>
      </c>
      <c r="AJ3150" s="2">
        <f>AI3150*T3150</f>
        <v>0</v>
      </c>
      <c r="AK3150" s="2">
        <f>T3150-W3150</f>
        <v>7.1783000000000001</v>
      </c>
      <c r="AL3150" s="5">
        <f>(T3150-W3150)/T3150</f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>(T3151-W3151)/T3151</f>
        <v>0.45916999999999997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>AJ3151</f>
        <v>0</v>
      </c>
      <c r="AJ3151" s="2">
        <f>AI3151*T3151</f>
        <v>0</v>
      </c>
      <c r="AK3151" s="2">
        <f>T3151-W3151</f>
        <v>13.775099999999998</v>
      </c>
      <c r="AL3151" s="5">
        <f>(T3151-W3151)/T3151</f>
        <v>0.45916999999999997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>(T3152-W3152)/T3152</f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>AJ3152</f>
        <v>0</v>
      </c>
      <c r="AJ3152" s="2">
        <f>AI3152*T3152</f>
        <v>0</v>
      </c>
      <c r="AK3152" s="2">
        <f>T3152-W3152</f>
        <v>8.3249999999999993</v>
      </c>
      <c r="AL3152" s="5">
        <f>(T3152-W3152)/T3152</f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>(T3153-W3153)/T3153</f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>AJ3153</f>
        <v>0</v>
      </c>
      <c r="AG3153" s="2">
        <v>120.81</v>
      </c>
      <c r="AJ3153" s="2">
        <f>AI3153*T3153</f>
        <v>0</v>
      </c>
      <c r="AK3153" s="2">
        <f>T3153-W3153</f>
        <v>142.92000000000002</v>
      </c>
      <c r="AL3153" s="5">
        <f>(T3153-W3153)/T3153</f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>(T3154-W3154)/T3154</f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>AJ3154</f>
        <v>0</v>
      </c>
      <c r="AJ3154" s="2">
        <f>AI3154*T3154</f>
        <v>0</v>
      </c>
      <c r="AK3154" s="2">
        <f>T3154-W3154</f>
        <v>21</v>
      </c>
      <c r="AL3154" s="5">
        <f>(T3154-W3154)/T3154</f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W3155" s="2">
        <v>0</v>
      </c>
      <c r="X3155" s="5"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>AJ3155</f>
        <v>0</v>
      </c>
      <c r="AJ3155" s="2">
        <f>AI3155*T3155</f>
        <v>0</v>
      </c>
      <c r="AK3155" s="2">
        <f>T3155-W3155</f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0">13.4067*S3156</f>
        <v>13.406700000000001</v>
      </c>
      <c r="X3156" s="5">
        <f>(T3156-W3156)/T3156</f>
        <v>0.4679880952380952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>AJ3156</f>
        <v>0</v>
      </c>
      <c r="AJ3156" s="2">
        <f>AI3156*T3156</f>
        <v>0</v>
      </c>
      <c r="AK3156" s="2">
        <f>T3156-W3156</f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0"/>
        <v>0</v>
      </c>
      <c r="X3157" s="5"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>AJ3157</f>
        <v>0</v>
      </c>
      <c r="AJ3157" s="2">
        <f>AI3157*T3157</f>
        <v>0</v>
      </c>
      <c r="AK3157" s="2">
        <f>T3157-W3157</f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>AJ3158</f>
        <v>0</v>
      </c>
      <c r="AG3158" s="2">
        <v>42.23</v>
      </c>
      <c r="AJ3158" s="2">
        <f>AI3158*T3158</f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1">16.2249*S3159</f>
        <v>16.224900000000002</v>
      </c>
      <c r="X3159" s="5">
        <f>(T3159-W3159)/T3159</f>
        <v>0.45916999999999997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>AJ3159</f>
        <v>0</v>
      </c>
      <c r="AJ3159" s="2">
        <f>AI3159*T3159</f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1"/>
        <v>0</v>
      </c>
      <c r="X3160" s="5"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>AJ3160</f>
        <v>0</v>
      </c>
      <c r="AJ3160" s="2">
        <f>AI3160*T3160</f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>AJ3161</f>
        <v>0</v>
      </c>
      <c r="AG3161" s="2">
        <v>10.6</v>
      </c>
      <c r="AH3161" s="2">
        <v>18</v>
      </c>
      <c r="AJ3161" s="2">
        <f>AI3161*T3161</f>
        <v>0</v>
      </c>
      <c r="AK3161" s="2">
        <f>T3161-W3161</f>
        <v>15.600000000000001</v>
      </c>
      <c r="AL3161" s="5">
        <f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>(T3162-W3162)/T3162</f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>AJ3162</f>
        <v>0</v>
      </c>
      <c r="AG3162" s="2">
        <v>10.6</v>
      </c>
      <c r="AH3162" s="2">
        <v>18</v>
      </c>
      <c r="AJ3162" s="2">
        <f>AI3162*T3162</f>
        <v>0</v>
      </c>
      <c r="AK3162" s="2">
        <f>T3162-W3162</f>
        <v>22.200000000000003</v>
      </c>
      <c r="AL3162" s="5">
        <f>(T3162-W3162)/T3162</f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>(T3163-W3163)/T3163</f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>AJ3163</f>
        <v>0</v>
      </c>
      <c r="AG3163" s="2">
        <v>10.6</v>
      </c>
      <c r="AH3163" s="2">
        <v>18</v>
      </c>
      <c r="AJ3163" s="2">
        <f>AI3163*T3163</f>
        <v>0</v>
      </c>
      <c r="AK3163" s="2">
        <f>T3163-W3163</f>
        <v>34</v>
      </c>
      <c r="AL3163" s="5">
        <f>(T3163-W3163)/T3163</f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>(T3164-W3164)/T3164</f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>AJ3164</f>
        <v>0</v>
      </c>
      <c r="AG3164" s="2">
        <v>10.6</v>
      </c>
      <c r="AH3164" s="2">
        <v>18</v>
      </c>
      <c r="AJ3164" s="2">
        <f>AI3164*T3164</f>
        <v>0</v>
      </c>
      <c r="AK3164" s="2">
        <f>T3164-W3164</f>
        <v>7.4</v>
      </c>
      <c r="AL3164" s="5">
        <f>(T3164-W3164)/T3164</f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>(T3165-W3165)/T3165</f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>AJ3165</f>
        <v>0</v>
      </c>
      <c r="AG3165" s="2">
        <v>10.6</v>
      </c>
      <c r="AH3165" s="2">
        <v>18</v>
      </c>
      <c r="AJ3165" s="2">
        <f>AI3165*T3165</f>
        <v>0</v>
      </c>
      <c r="AK3165" s="2">
        <f>T3165-W3165</f>
        <v>14.8</v>
      </c>
      <c r="AL3165" s="5">
        <f>(T3165-W3165)/T3165</f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>(T3166-W3166)/T3166</f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>AJ3166</f>
        <v>0</v>
      </c>
      <c r="AG3166" s="2">
        <v>9.14</v>
      </c>
      <c r="AH3166" s="2">
        <v>16</v>
      </c>
      <c r="AJ3166" s="2">
        <f>AI3166*T3166</f>
        <v>0</v>
      </c>
      <c r="AK3166" s="2">
        <f>T3166-W3166</f>
        <v>4.8600000000000012</v>
      </c>
      <c r="AL3166" s="5">
        <f>(T3166-W3166)/T3166</f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>(T3167-W3167)/T3167</f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>AJ3167</f>
        <v>0</v>
      </c>
      <c r="AG3167" s="2">
        <v>9.14</v>
      </c>
      <c r="AH3167" s="2">
        <v>16</v>
      </c>
      <c r="AJ3167" s="2">
        <f>AI3167*T3167</f>
        <v>0</v>
      </c>
      <c r="AK3167" s="2">
        <f>T3167-W3167</f>
        <v>7.7200000000000024</v>
      </c>
      <c r="AL3167" s="5">
        <f>(T3167-W3167)/T3167</f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>(T3168-W3168)/T3168</f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>AJ3168</f>
        <v>0</v>
      </c>
      <c r="AG3168" s="2">
        <v>8.1999999999999993</v>
      </c>
      <c r="AH3168" s="2">
        <v>13</v>
      </c>
      <c r="AJ3168" s="2">
        <f>AI3168*T3168</f>
        <v>0</v>
      </c>
      <c r="AK3168" s="2">
        <f>T3168-W3168</f>
        <v>53.199999999999989</v>
      </c>
      <c r="AL3168" s="5">
        <f>(T3168-W3168)/T3168</f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>(T3169-W3169)/T3169</f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>AJ3169</f>
        <v>0</v>
      </c>
      <c r="AG3169" s="2">
        <v>8.1999999999999993</v>
      </c>
      <c r="AH3169" s="2">
        <v>13</v>
      </c>
      <c r="AJ3169" s="2">
        <f>AI3169*T3169</f>
        <v>0</v>
      </c>
      <c r="AK3169" s="2">
        <f>T3169-W3169</f>
        <v>9.5999999999999979</v>
      </c>
      <c r="AL3169" s="5">
        <f>(T3169-W3169)/T3169</f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>AJ3170</f>
        <v>0</v>
      </c>
      <c r="AG3170" s="2">
        <v>8.1999999999999993</v>
      </c>
      <c r="AH3170" s="2">
        <v>13</v>
      </c>
      <c r="AJ3170" s="2">
        <f>AI3170*T3170</f>
        <v>0</v>
      </c>
      <c r="AK3170" s="2">
        <f>T3170-W3170</f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>AJ3171</f>
        <v>0</v>
      </c>
      <c r="AG3171" s="2">
        <v>8.1999999999999993</v>
      </c>
      <c r="AH3171" s="2">
        <v>13</v>
      </c>
      <c r="AJ3171" s="2">
        <f>AI3171*T3171</f>
        <v>0</v>
      </c>
      <c r="AK3171" s="2">
        <f>T3171-W3171</f>
        <v>7.5999999999999979</v>
      </c>
      <c r="AL3171" s="5">
        <f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>(T3172-W3172)/T3172</f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>AJ3172</f>
        <v>0</v>
      </c>
      <c r="AG3172" s="2">
        <v>8.1999999999999993</v>
      </c>
      <c r="AH3172" s="2">
        <v>13</v>
      </c>
      <c r="AJ3172" s="2">
        <f>AI3172*T3172</f>
        <v>0</v>
      </c>
      <c r="AK3172" s="2">
        <f>T3172-W3172</f>
        <v>4.7999999999999989</v>
      </c>
      <c r="AL3172" s="5">
        <f>(T3172-W3172)/T3172</f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>(T3173-W3173)/T3173</f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>AJ3173</f>
        <v>0</v>
      </c>
      <c r="AG3173" s="2">
        <v>8.1999999999999993</v>
      </c>
      <c r="AH3173" s="2">
        <v>13</v>
      </c>
      <c r="AJ3173" s="2">
        <f>AI3173*T3173</f>
        <v>0</v>
      </c>
      <c r="AK3173" s="2">
        <f>T3173-W3173</f>
        <v>3.7999999999999989</v>
      </c>
      <c r="AL3173" s="5">
        <f>(T3173-W3173)/T3173</f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>(T3174-W3174)/T3174</f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>AJ3174</f>
        <v>0</v>
      </c>
      <c r="AG3174" s="2">
        <v>8.1999999999999993</v>
      </c>
      <c r="AH3174" s="2">
        <v>13</v>
      </c>
      <c r="AJ3174" s="2">
        <f>AI3174*T3174</f>
        <v>0</v>
      </c>
      <c r="AK3174" s="2">
        <f>T3174-W3174</f>
        <v>7.5999999999999979</v>
      </c>
      <c r="AL3174" s="5">
        <f>(T3174-W3174)/T3174</f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>(T3175-W3175)/T3175</f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>AJ3175</f>
        <v>0</v>
      </c>
      <c r="AJ3175" s="2">
        <f>AI3175*T3175</f>
        <v>0</v>
      </c>
      <c r="AK3175" s="2">
        <f>T3175-W3175</f>
        <v>4.8600000000000012</v>
      </c>
      <c r="AL3175" s="5">
        <f>(T3175-W3175)/T3175</f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>(T3176-W3176)/T3176</f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>AJ3176</f>
        <v>0</v>
      </c>
      <c r="AJ3176" s="2">
        <f>AI3176*T3176</f>
        <v>0</v>
      </c>
      <c r="AK3176" s="2">
        <f>T3176-W3176</f>
        <v>4.8600000000000012</v>
      </c>
      <c r="AL3176" s="5">
        <f>(T3176-W3176)/T3176</f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>(T3177-W3177)/T3177</f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>AJ3177</f>
        <v>0</v>
      </c>
      <c r="AG3177" s="2">
        <v>3.7555999999999998</v>
      </c>
      <c r="AH3177" s="2">
        <v>7.2</v>
      </c>
      <c r="AJ3177" s="2">
        <f>AI3177*T3177</f>
        <v>0</v>
      </c>
      <c r="AK3177" s="2">
        <f>T3177-W3177</f>
        <v>13.777600000000001</v>
      </c>
      <c r="AL3177" s="5">
        <f>(T3177-W3177)/T3177</f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>(T3178-W3178)/T3178</f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>AJ3178</f>
        <v>0</v>
      </c>
      <c r="AG3178" s="2">
        <v>0.85609999999999997</v>
      </c>
      <c r="AH3178" s="2">
        <v>1.8</v>
      </c>
      <c r="AJ3178" s="2">
        <f>AI3178*T3178</f>
        <v>0</v>
      </c>
      <c r="AK3178" s="2">
        <f>T3178-W3178</f>
        <v>0.94390000000000007</v>
      </c>
      <c r="AL3178" s="5">
        <f>(T3178-W3178)/T3178</f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>(T3179-W3179)/T3179</f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>AJ3179</f>
        <v>0</v>
      </c>
      <c r="AG3179" s="2">
        <v>0.85609999999999997</v>
      </c>
      <c r="AH3179" s="2">
        <v>1.8</v>
      </c>
      <c r="AJ3179" s="2">
        <f>AI3179*T3179</f>
        <v>0</v>
      </c>
      <c r="AK3179" s="2">
        <f>T3179-W3179</f>
        <v>2.1438999999999999</v>
      </c>
      <c r="AL3179" s="5">
        <f>(T3179-W3179)/T3179</f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>(T3180-W3180)/T3180</f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>AJ3180</f>
        <v>0</v>
      </c>
      <c r="AG3180" s="2">
        <v>1.1122000000000001</v>
      </c>
      <c r="AH3180" s="2">
        <v>3</v>
      </c>
      <c r="AJ3180" s="2">
        <f>AI3180*T3180</f>
        <v>0</v>
      </c>
      <c r="AK3180" s="2">
        <f>T3180-W3180</f>
        <v>5.6633999999999993</v>
      </c>
      <c r="AL3180" s="5">
        <f>(T3180-W3180)/T3180</f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>(T3181-W3181)/T3181</f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>AJ3181</f>
        <v>0</v>
      </c>
      <c r="AJ3181" s="2">
        <f>AI3181*T3181</f>
        <v>0</v>
      </c>
      <c r="AK3181" s="2">
        <f>T3181-W3181</f>
        <v>60</v>
      </c>
      <c r="AL3181" s="5">
        <f>(T3181-W3181)/T3181</f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>AJ3182</f>
        <v>0</v>
      </c>
      <c r="AG3182" s="2">
        <v>7.9611999999999998</v>
      </c>
      <c r="AH3182" s="2">
        <v>14.4</v>
      </c>
      <c r="AJ3182" s="2">
        <f>AI3182*T3182</f>
        <v>0</v>
      </c>
      <c r="AK3182" s="2">
        <f>T3182-W3182</f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>AJ3183</f>
        <v>0</v>
      </c>
      <c r="AG3183" s="2">
        <v>7.9611999999999998</v>
      </c>
      <c r="AH3183" s="2">
        <v>14.4</v>
      </c>
      <c r="AJ3183" s="2">
        <f>AI3183*T3183</f>
        <v>0</v>
      </c>
      <c r="AK3183" s="2">
        <f>T3183-W3183</f>
        <v>15.5388</v>
      </c>
      <c r="AL3183" s="5">
        <f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>(T3184-W3184)/T3184</f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>AJ3184</f>
        <v>0</v>
      </c>
      <c r="AG3184" s="2">
        <v>15.020300000000001</v>
      </c>
      <c r="AH3184" s="2">
        <v>27.6</v>
      </c>
      <c r="AJ3184" s="2">
        <f>AI3184*T3184</f>
        <v>0</v>
      </c>
      <c r="AK3184" s="2">
        <f>T3184-W3184</f>
        <v>25.439099999999996</v>
      </c>
      <c r="AL3184" s="5">
        <f>(T3184-W3184)/T3184</f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>(T3185-W3185)/T3185</f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>AJ3185</f>
        <v>0</v>
      </c>
      <c r="AG3185" s="2">
        <v>15.020300000000001</v>
      </c>
      <c r="AH3185" s="2">
        <v>27.6</v>
      </c>
      <c r="AJ3185" s="2">
        <f>AI3185*T3185</f>
        <v>0</v>
      </c>
      <c r="AK3185" s="2">
        <f>T3185-W3185</f>
        <v>25.439099999999996</v>
      </c>
      <c r="AL3185" s="5">
        <f>(T3185-W3185)/T3185</f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>(T3186-W3186)/T3186</f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>AJ3186</f>
        <v>0</v>
      </c>
      <c r="AG3186" s="2">
        <v>15.020300000000001</v>
      </c>
      <c r="AH3186" s="2">
        <v>27.6</v>
      </c>
      <c r="AJ3186" s="2">
        <f>AI3186*T3186</f>
        <v>0</v>
      </c>
      <c r="AK3186" s="2">
        <f>T3186-W3186</f>
        <v>25.159400000000002</v>
      </c>
      <c r="AL3186" s="5">
        <f>(T3186-W3186)/T3186</f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>(T3187-W3187)/T3187</f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>AJ3187</f>
        <v>0</v>
      </c>
      <c r="AG3187" s="2">
        <v>15.020300000000001</v>
      </c>
      <c r="AH3187" s="2">
        <v>27.6</v>
      </c>
      <c r="AJ3187" s="2">
        <f>AI3187*T3187</f>
        <v>0</v>
      </c>
      <c r="AK3187" s="2">
        <f>T3187-W3187</f>
        <v>15.959399999999999</v>
      </c>
      <c r="AL3187" s="5">
        <f>(T3187-W3187)/T3187</f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>(T3188-W3188)/T3188</f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>AJ3188</f>
        <v>0</v>
      </c>
      <c r="AG3188" s="2">
        <v>15.020300000000001</v>
      </c>
      <c r="AH3188" s="2">
        <v>27.6</v>
      </c>
      <c r="AJ3188" s="2">
        <f>AI3188*T3188</f>
        <v>0</v>
      </c>
      <c r="AK3188" s="2">
        <f>T3188-W3188</f>
        <v>8.4796999999999993</v>
      </c>
      <c r="AL3188" s="5">
        <f>(T3188-W3188)/T3188</f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>(T3189-W3189)/T3189</f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>AJ3189</f>
        <v>0</v>
      </c>
      <c r="AG3189" s="2">
        <f>2084.42+172</f>
        <v>2256.42</v>
      </c>
      <c r="AJ3189" s="2">
        <f>AI3189*T3189</f>
        <v>0</v>
      </c>
      <c r="AK3189" s="2">
        <f>T3189-W3189</f>
        <v>2230.7399999999998</v>
      </c>
      <c r="AL3189" s="5">
        <f>(T3189-W3189)/T3189</f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>(T3190-W3190)/T3190</f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>AJ3190</f>
        <v>0</v>
      </c>
      <c r="AG3190" s="2">
        <v>10.6</v>
      </c>
      <c r="AH3190" s="2">
        <v>18</v>
      </c>
      <c r="AJ3190" s="2">
        <f>AI3190*T3190</f>
        <v>0</v>
      </c>
      <c r="AK3190" s="2">
        <f>T3190-W3190</f>
        <v>14.8</v>
      </c>
      <c r="AL3190" s="5">
        <f>(T3190-W3190)/T3190</f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>(T3191-W3191)/T3191</f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>AJ3191</f>
        <v>0</v>
      </c>
      <c r="AG3191" s="2">
        <v>8.17</v>
      </c>
      <c r="AJ3191" s="2">
        <f>AI3191*T3191</f>
        <v>0</v>
      </c>
      <c r="AK3191" s="2">
        <f>T3191-W3191</f>
        <v>5.4399999999999995</v>
      </c>
      <c r="AL3191" s="5">
        <f>(T3191-W3191)/T3191</f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>(T3192-W3192)/T3192</f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>AJ3192</f>
        <v>0</v>
      </c>
      <c r="AG3192" s="2">
        <v>10.18</v>
      </c>
      <c r="AJ3192" s="2">
        <f>AI3192*T3192</f>
        <v>0</v>
      </c>
      <c r="AK3192" s="2">
        <f>T3192-W3192</f>
        <v>6.7800000000000011</v>
      </c>
      <c r="AL3192" s="5">
        <f>(T3192-W3192)/T3192</f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>(T3193-W3193)/T3193</f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>AJ3193</f>
        <v>0</v>
      </c>
      <c r="AG3193" s="2">
        <v>10.130000000000001</v>
      </c>
      <c r="AJ3193" s="2">
        <f>AI3193*T3193</f>
        <v>0</v>
      </c>
      <c r="AK3193" s="2">
        <f>T3193-W3193</f>
        <v>6.7499999999999982</v>
      </c>
      <c r="AL3193" s="5">
        <f>(T3193-W3193)/T3193</f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>(T3194-W3194)/T3194</f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>AJ3194</f>
        <v>0</v>
      </c>
      <c r="AG3194" s="2">
        <v>47.4</v>
      </c>
      <c r="AJ3194" s="2">
        <f>AI3194*T3194</f>
        <v>0</v>
      </c>
      <c r="AK3194" s="2">
        <f>T3194-W3194</f>
        <v>12.600000000000001</v>
      </c>
      <c r="AL3194" s="5">
        <f>(T3194-W3194)/T3194</f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>(T3195-W3195)/T3195</f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>AJ3195</f>
        <v>0</v>
      </c>
      <c r="AG3195" s="2">
        <v>235.29</v>
      </c>
      <c r="AJ3195" s="2">
        <f>AI3195*T3195</f>
        <v>0</v>
      </c>
      <c r="AK3195" s="2">
        <f>T3195-W3195</f>
        <v>254.71</v>
      </c>
      <c r="AL3195" s="5">
        <f>(T3195-W3195)/T3195</f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>(T3196-W3196)/T3196</f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>AJ3196</f>
        <v>0</v>
      </c>
      <c r="AG3196" s="2">
        <v>647.05999999999995</v>
      </c>
      <c r="AJ3196" s="2">
        <f>AI3196*T3196</f>
        <v>0</v>
      </c>
      <c r="AK3196" s="2">
        <f>T3196-W3196</f>
        <v>552.94000000000005</v>
      </c>
      <c r="AL3196" s="5">
        <f>(T3196-W3196)/T3196</f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>(T3197-W3197)/T3197</f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>AJ3197</f>
        <v>0</v>
      </c>
      <c r="AG3197" s="2">
        <v>647.05999999999995</v>
      </c>
      <c r="AJ3197" s="2">
        <f>AI3197*T3197</f>
        <v>0</v>
      </c>
      <c r="AK3197" s="2">
        <f>T3197-W3197</f>
        <v>534.44000000000005</v>
      </c>
      <c r="AL3197" s="5">
        <f>(T3197-W3197)/T3197</f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>(T3198-W3198)/T3198</f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>AJ3198</f>
        <v>0</v>
      </c>
      <c r="AG3198" s="2">
        <v>125.51600000000001</v>
      </c>
      <c r="AH3198" s="2">
        <v>220</v>
      </c>
      <c r="AJ3198" s="2">
        <f>AI3198*T3198</f>
        <v>0</v>
      </c>
      <c r="AK3198" s="2">
        <f>T3198-W3198</f>
        <v>116.93399999999998</v>
      </c>
      <c r="AL3198" s="5">
        <f>(T3198-W3198)/T3198</f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>(T3199-W3199)/T3199</f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>AJ3199</f>
        <v>0</v>
      </c>
      <c r="AG3199" s="2">
        <v>125.51600000000001</v>
      </c>
      <c r="AH3199" s="2">
        <v>220</v>
      </c>
      <c r="AJ3199" s="2">
        <f>AI3199*T3199</f>
        <v>0</v>
      </c>
      <c r="AK3199" s="2">
        <f>T3199-W3199</f>
        <v>188.96799999999999</v>
      </c>
      <c r="AL3199" s="5">
        <f>(T3199-W3199)/T3199</f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>(T3200-W3200)/T3200</f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>AJ3200</f>
        <v>0</v>
      </c>
      <c r="AG3200" s="2">
        <v>125.51600000000001</v>
      </c>
      <c r="AH3200" s="2">
        <v>220</v>
      </c>
      <c r="AJ3200" s="2">
        <f>AI3200*T3200</f>
        <v>0</v>
      </c>
      <c r="AK3200" s="2">
        <f>T3200-W3200</f>
        <v>94.483999999999995</v>
      </c>
      <c r="AL3200" s="5">
        <f>(T3200-W3200)/T3200</f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>(T3201-W3201)/T3201</f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>AJ3201</f>
        <v>0</v>
      </c>
      <c r="AG3201" s="2">
        <v>125.51600000000001</v>
      </c>
      <c r="AH3201" s="2">
        <v>220</v>
      </c>
      <c r="AJ3201" s="2">
        <f>AI3201*T3201</f>
        <v>0</v>
      </c>
      <c r="AK3201" s="2">
        <f>T3201-W3201</f>
        <v>94.483999999999995</v>
      </c>
      <c r="AL3201" s="5">
        <f>(T3201-W3201)/T3201</f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>(T3202-W3202)/T3202</f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>AJ3202</f>
        <v>0</v>
      </c>
      <c r="AG3202" s="2">
        <v>125.51600000000001</v>
      </c>
      <c r="AH3202" s="2">
        <v>220</v>
      </c>
      <c r="AJ3202" s="2">
        <f>AI3202*T3202</f>
        <v>0</v>
      </c>
      <c r="AK3202" s="2">
        <f>T3202-W3202</f>
        <v>94.483999999999995</v>
      </c>
      <c r="AL3202" s="5">
        <f>(T3202-W3202)/T3202</f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>(T3203-W3203)/T3203</f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>AJ3203</f>
        <v>0</v>
      </c>
      <c r="AG3203" s="2">
        <v>125.51600000000001</v>
      </c>
      <c r="AH3203" s="2">
        <v>220</v>
      </c>
      <c r="AJ3203" s="2">
        <f>AI3203*T3203</f>
        <v>0</v>
      </c>
      <c r="AK3203" s="2">
        <f>T3203-W3203</f>
        <v>94.483999999999995</v>
      </c>
      <c r="AL3203" s="5">
        <f>(T3203-W3203)/T3203</f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>(T3204-W3204)/T3204</f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>AJ3204</f>
        <v>0</v>
      </c>
      <c r="AG3204" s="2">
        <v>125.51600000000001</v>
      </c>
      <c r="AH3204" s="2">
        <v>220</v>
      </c>
      <c r="AJ3204" s="2">
        <f>AI3204*T3204</f>
        <v>0</v>
      </c>
      <c r="AK3204" s="2">
        <f>T3204-W3204</f>
        <v>94.483999999999995</v>
      </c>
      <c r="AL3204" s="5">
        <f>(T3204-W3204)/T3204</f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>(T3205-W3205)/T3205</f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>AJ3205</f>
        <v>0</v>
      </c>
      <c r="AG3205" s="2">
        <v>125.51600000000001</v>
      </c>
      <c r="AH3205" s="2">
        <v>220</v>
      </c>
      <c r="AJ3205" s="2">
        <f>AI3205*T3205</f>
        <v>0</v>
      </c>
      <c r="AK3205" s="2">
        <f>T3205-W3205</f>
        <v>283.452</v>
      </c>
      <c r="AL3205" s="5">
        <f>(T3205-W3205)/T3205</f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>(T3206-W3206)/T3206</f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>AJ3206</f>
        <v>0</v>
      </c>
      <c r="AG3206" s="2">
        <v>104.49</v>
      </c>
      <c r="AH3206" s="2">
        <v>220</v>
      </c>
      <c r="AJ3206" s="2">
        <f>AI3206*T3206</f>
        <v>0</v>
      </c>
      <c r="AK3206" s="2">
        <f>T3206-W3206</f>
        <v>115.51</v>
      </c>
      <c r="AL3206" s="5">
        <f>(T3206-W3206)/T3206</f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>(T3207-W3207)/T3207</f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>AJ3207</f>
        <v>0</v>
      </c>
      <c r="AG3207" s="2">
        <f>101.305+6.77</f>
        <v>108.075</v>
      </c>
      <c r="AH3207" s="2">
        <v>210</v>
      </c>
      <c r="AJ3207" s="2">
        <f>AI3207*T3207</f>
        <v>0</v>
      </c>
      <c r="AK3207" s="2">
        <f>T3207-W3207</f>
        <v>150.60500000000002</v>
      </c>
      <c r="AL3207" s="5">
        <f>(T3207-W3207)/T3207</f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>(T3208-W3208)/T3208</f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>AJ3208</f>
        <v>0</v>
      </c>
      <c r="AG3208" s="2">
        <v>113.17</v>
      </c>
      <c r="AJ3208" s="2">
        <f>AI3208*T3208</f>
        <v>0</v>
      </c>
      <c r="AK3208" s="2">
        <f>T3208-W3208</f>
        <v>116.83</v>
      </c>
      <c r="AL3208" s="5">
        <f>(T3208-W3208)/T3208</f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>(T3209-W3209)/T3209</f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>AJ3209</f>
        <v>0</v>
      </c>
      <c r="AG3209" s="2">
        <v>121.46</v>
      </c>
      <c r="AH3209" s="2">
        <v>210</v>
      </c>
      <c r="AJ3209" s="2">
        <f>AI3209*T3209</f>
        <v>0</v>
      </c>
      <c r="AK3209" s="2">
        <f>T3209-W3209</f>
        <v>197.08</v>
      </c>
      <c r="AL3209" s="5">
        <f>(T3209-W3209)/T3209</f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>(T3210-W3210)/T3210</f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>AJ3210</f>
        <v>0</v>
      </c>
      <c r="AJ3210" s="2">
        <f>AI3210*T3210</f>
        <v>0</v>
      </c>
      <c r="AK3210" s="2">
        <f>T3210-W3210</f>
        <v>96.084000000000003</v>
      </c>
      <c r="AL3210" s="5">
        <f>(T3210-W3210)/T3210</f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>(T3211-W3211)/T3211</f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>AJ3211</f>
        <v>0</v>
      </c>
      <c r="AG3211" s="2">
        <v>131.93</v>
      </c>
      <c r="AH3211" s="2">
        <v>220</v>
      </c>
      <c r="AJ3211" s="2">
        <f>AI3211*T3211</f>
        <v>0</v>
      </c>
      <c r="AK3211" s="2">
        <f>T3211-W3211</f>
        <v>98.07</v>
      </c>
      <c r="AL3211" s="5">
        <f>(T3211-W3211)/T3211</f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>(T3212-W3212)/T3212</f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>AJ3212</f>
        <v>0</v>
      </c>
      <c r="AJ3212" s="2">
        <f>AI3212*T3212</f>
        <v>0</v>
      </c>
      <c r="AK3212" s="2">
        <f>T3212-W3212</f>
        <v>108.02</v>
      </c>
      <c r="AL3212" s="5">
        <f>(T3212-W3212)/T3212</f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>(T3213-W3213)/T3213</f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>AJ3213</f>
        <v>0</v>
      </c>
      <c r="AG3213" s="2">
        <v>113.33</v>
      </c>
      <c r="AH3213" s="2">
        <v>220</v>
      </c>
      <c r="AJ3213" s="2">
        <f>AI3213*T3213</f>
        <v>0</v>
      </c>
      <c r="AK3213" s="2">
        <f>T3213-W3213</f>
        <v>106.67</v>
      </c>
      <c r="AL3213" s="5">
        <f>(T3213-W3213)/T3213</f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>(T3214-W3214)/T3214</f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>AJ3214</f>
        <v>0</v>
      </c>
      <c r="AG3214" s="2">
        <v>122.446</v>
      </c>
      <c r="AH3214" s="2">
        <v>230</v>
      </c>
      <c r="AJ3214" s="2">
        <f>AI3214*T3214</f>
        <v>0</v>
      </c>
      <c r="AK3214" s="2">
        <f>T3214-W3214</f>
        <v>15.554000000000002</v>
      </c>
      <c r="AL3214" s="5">
        <f>(T3214-W3214)/T3214</f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>AJ3215</f>
        <v>0</v>
      </c>
      <c r="AG3215" s="2">
        <f>868.26+3.61</f>
        <v>871.87</v>
      </c>
      <c r="AJ3215" s="2">
        <f>AI3215*T3215</f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>AJ3216</f>
        <v>0</v>
      </c>
      <c r="AG3216" s="2">
        <v>110.68</v>
      </c>
      <c r="AH3216" s="2">
        <v>210</v>
      </c>
      <c r="AJ3216" s="2">
        <f>AI3216*T3216</f>
        <v>0</v>
      </c>
      <c r="AK3216" s="2">
        <f>T3216-W3216</f>
        <v>99.32</v>
      </c>
      <c r="AL3216" s="5">
        <f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>(T3217-W3217)/T3217</f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>AJ3217</f>
        <v>0</v>
      </c>
      <c r="AG3217" s="2">
        <v>110.68</v>
      </c>
      <c r="AH3217" s="2">
        <v>210</v>
      </c>
      <c r="AJ3217" s="2">
        <f>AI3217*T3217</f>
        <v>0</v>
      </c>
      <c r="AK3217" s="2">
        <f>T3217-W3217</f>
        <v>99.32</v>
      </c>
      <c r="AL3217" s="5">
        <f>(T3217-W3217)/T3217</f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>(T3218-W3218)/T3218</f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>AJ3218</f>
        <v>0</v>
      </c>
      <c r="AG3218" s="2">
        <f>110.125+11.77</f>
        <v>121.895</v>
      </c>
      <c r="AJ3218" s="2">
        <f>AI3218*T3218</f>
        <v>0</v>
      </c>
      <c r="AK3218" s="2">
        <f>T3218-W3218</f>
        <v>72.855000000000004</v>
      </c>
      <c r="AL3218" s="5">
        <f>(T3218-W3218)/T3218</f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>(T3219-W3219)/T3219</f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>AJ3219</f>
        <v>0</v>
      </c>
      <c r="AJ3219" s="2">
        <f>AI3219*T3219</f>
        <v>0</v>
      </c>
      <c r="AK3219" s="2">
        <f>T3219-W3219</f>
        <v>97.75</v>
      </c>
      <c r="AL3219" s="5">
        <f>(T3219-W3219)/T3219</f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>(T3220-W3220)/T3220</f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>AJ3220</f>
        <v>0</v>
      </c>
      <c r="AJ3220" s="2">
        <f>AI3220*T3220</f>
        <v>0</v>
      </c>
      <c r="AK3220" s="2">
        <f>T3220-W3220</f>
        <v>104.75000000000003</v>
      </c>
      <c r="AL3220" s="5">
        <f>(T3220-W3220)/T3220</f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>(T3221-W3221)/T3221</f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>AJ3221</f>
        <v>0</v>
      </c>
      <c r="AJ3221" s="2">
        <f>AI3221*T3221</f>
        <v>0</v>
      </c>
      <c r="AK3221" s="2">
        <f>T3221-W3221</f>
        <v>117.41</v>
      </c>
      <c r="AL3221" s="5">
        <f>(T3221-W3221)/T3221</f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>(T3222-W3222)/T3222</f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>AJ3222</f>
        <v>0</v>
      </c>
      <c r="AJ3222" s="2">
        <f>AI3222*T3222</f>
        <v>0</v>
      </c>
      <c r="AK3222" s="2">
        <f>T3222-W3222</f>
        <v>803.28000000000009</v>
      </c>
      <c r="AL3222" s="5">
        <f>(T3222-W3222)/T3222</f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>(T3223-W3223)/T3223</f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>AJ3223</f>
        <v>0</v>
      </c>
      <c r="AJ3223" s="2">
        <f>AI3223*T3223</f>
        <v>0</v>
      </c>
      <c r="AK3223" s="2">
        <f>T3223-W3223</f>
        <v>229.94</v>
      </c>
      <c r="AL3223" s="5">
        <f>(T3223-W3223)/T3223</f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>(T3224-W3224)/T3224</f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>AJ3224</f>
        <v>0</v>
      </c>
      <c r="AJ3224" s="2">
        <f>AI3224*T3224</f>
        <v>0</v>
      </c>
      <c r="AK3224" s="2">
        <f>T3224-W3224</f>
        <v>162.465</v>
      </c>
      <c r="AL3224" s="5">
        <f>(T3224-W3224)/T3224</f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>(T3225-W3225)/T3225</f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>AJ3225</f>
        <v>0</v>
      </c>
      <c r="AJ3225" s="2">
        <f>AI3225*T3225</f>
        <v>0</v>
      </c>
      <c r="AK3225" s="2">
        <f>T3225-W3225</f>
        <v>3.5846</v>
      </c>
      <c r="AL3225" s="5">
        <f>(T3225-W3225)/T3225</f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>(T3226-W3226)/T3226</f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>AJ3226</f>
        <v>0</v>
      </c>
      <c r="AJ3226" s="2">
        <f>AI3226*T3226</f>
        <v>0</v>
      </c>
      <c r="AK3226" s="2">
        <f>T3226-W3226</f>
        <v>3.5846</v>
      </c>
      <c r="AL3226" s="5">
        <f>(T3226-W3226)/T3226</f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>(T3227-W3227)/T3227</f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>AJ3227</f>
        <v>0</v>
      </c>
      <c r="AJ3227" s="2">
        <f>AI3227*T3227</f>
        <v>0</v>
      </c>
      <c r="AK3227" s="2">
        <f>T3227-W3227</f>
        <v>77</v>
      </c>
      <c r="AL3227" s="5">
        <f>(T3227-W3227)/T3227</f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>(T3228-W3228)/T3228</f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>AJ3228</f>
        <v>0</v>
      </c>
      <c r="AJ3228" s="2">
        <f>AI3228*T3228</f>
        <v>0</v>
      </c>
      <c r="AK3228" s="2">
        <f>T3228-W3228</f>
        <v>1020</v>
      </c>
      <c r="AL3228" s="5">
        <f>(T3228-W3228)/T3228</f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3399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>(T3229-W3229)/T3229</f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3399</v>
      </c>
      <c r="AF3229" s="2">
        <f>AJ3229</f>
        <v>0</v>
      </c>
      <c r="AG3229" s="2">
        <f>527.7299+435.61</f>
        <v>963.33990000000006</v>
      </c>
      <c r="AJ3229" s="2">
        <f>AI3229*T3229</f>
        <v>0</v>
      </c>
      <c r="AK3229" s="2">
        <f>T3229-W3229</f>
        <v>1544.1601000000001</v>
      </c>
      <c r="AL3229" s="5">
        <f>(T3229-W3229)/T3229</f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3399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>(T3230-W3230)/T3230</f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3399</v>
      </c>
      <c r="AF3230" s="2">
        <f>AJ3230</f>
        <v>0</v>
      </c>
      <c r="AG3230" s="2">
        <f>729.1005+601.82</f>
        <v>1330.9205000000002</v>
      </c>
      <c r="AJ3230" s="2">
        <f>AI3230*T3230</f>
        <v>0</v>
      </c>
      <c r="AK3230" s="2">
        <f>T3230-W3230</f>
        <v>1262.1295000000002</v>
      </c>
      <c r="AL3230" s="5">
        <f>(T3230-W3230)/T3230</f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>(T3231-W3231)/T3231</f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>AJ3231</f>
        <v>0</v>
      </c>
      <c r="AJ3231" s="2">
        <f>AI3231*T3231</f>
        <v>0</v>
      </c>
      <c r="AK3231" s="2">
        <f>T3231-W3231</f>
        <v>230.24</v>
      </c>
      <c r="AL3231" s="5">
        <f>(T3231-W3231)/T3231</f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>(T3232-W3232)/T3232</f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>AJ3232</f>
        <v>0</v>
      </c>
      <c r="AJ3232" s="2">
        <f>AI3232*T3232</f>
        <v>0</v>
      </c>
      <c r="AK3232" s="2">
        <f>T3232-W3232</f>
        <v>183.29000000000002</v>
      </c>
      <c r="AL3232" s="5">
        <f>(T3232-W3232)/T3232</f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>(T3233-W3233)/T3233</f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>AJ3233</f>
        <v>0</v>
      </c>
      <c r="AJ3233" s="2">
        <f>AI3233*T3233</f>
        <v>0</v>
      </c>
      <c r="AK3233" s="2">
        <f>T3233-W3233</f>
        <v>408.97</v>
      </c>
      <c r="AL3233" s="5">
        <f>(T3233-W3233)/T3233</f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>(T3234-W3234)/T3234</f>
        <v>1</v>
      </c>
      <c r="Z3234" s="2" t="s">
        <v>120</v>
      </c>
      <c r="AA3234" s="2" t="s">
        <v>493</v>
      </c>
      <c r="AF3234" s="2">
        <f>AJ3234</f>
        <v>0</v>
      </c>
      <c r="AJ3234" s="2">
        <f>AI3234*T3234</f>
        <v>0</v>
      </c>
      <c r="AK3234" s="2">
        <f>T3234-W3234</f>
        <v>664.04</v>
      </c>
      <c r="AL3234" s="5">
        <f>(T3234-W3234)/T3234</f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>(T3235-W3235)/T3235</f>
        <v>1</v>
      </c>
      <c r="Z3235" s="2" t="s">
        <v>118</v>
      </c>
      <c r="AA3235" s="2" t="s">
        <v>318</v>
      </c>
      <c r="AF3235" s="2">
        <f>AJ3235</f>
        <v>0</v>
      </c>
      <c r="AJ3235" s="2">
        <f>AI3235*T3235</f>
        <v>0</v>
      </c>
      <c r="AK3235" s="2">
        <f>T3235-W3235</f>
        <v>696.5</v>
      </c>
      <c r="AL3235" s="5">
        <f>(T3235-W3235)/T3235</f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>(T3236-W3236)/T3236</f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>AJ3236</f>
        <v>0</v>
      </c>
      <c r="AG3236" s="2">
        <f>W3236</f>
        <v>27.5</v>
      </c>
      <c r="AJ3236" s="2">
        <f>AI3236*T3236</f>
        <v>0</v>
      </c>
      <c r="AK3236" s="2">
        <f>T3236-W3236</f>
        <v>27.5</v>
      </c>
      <c r="AL3236" s="5">
        <f>(T3236-W3236)/T3236</f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>(T3237-W3237)/T3237</f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>AJ3237</f>
        <v>0</v>
      </c>
      <c r="AG3237" s="2">
        <f>W3237</f>
        <v>40</v>
      </c>
      <c r="AJ3237" s="2">
        <f>AI3237*T3237</f>
        <v>0</v>
      </c>
      <c r="AK3237" s="2">
        <f>T3237-W3237</f>
        <v>60</v>
      </c>
      <c r="AL3237" s="5">
        <f>(T3237-W3237)/T3237</f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>(T3238-W3238)/T3238</f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>AJ3238</f>
        <v>0</v>
      </c>
      <c r="AG3238" s="2">
        <f>W3238</f>
        <v>110</v>
      </c>
      <c r="AJ3238" s="2">
        <f>AI3238*T3238</f>
        <v>0</v>
      </c>
      <c r="AK3238" s="2">
        <f>T3238-W3238</f>
        <v>110</v>
      </c>
      <c r="AL3238" s="5">
        <f>(T3238-W3238)/T3238</f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>(T3239-W3239)/T3239</f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>AJ3239</f>
        <v>0</v>
      </c>
      <c r="AG3239" s="2">
        <f>W3239</f>
        <v>87.600000000000009</v>
      </c>
      <c r="AJ3239" s="2">
        <f>AI3239*T3239</f>
        <v>0</v>
      </c>
      <c r="AK3239" s="2">
        <f>T3239-W3239</f>
        <v>131.39999999999998</v>
      </c>
      <c r="AL3239" s="5">
        <f>(T3239-W3239)/T3239</f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>(T3240-W3240)/T3240</f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>AJ3240</f>
        <v>0</v>
      </c>
      <c r="AG3240" s="2">
        <f>W3240</f>
        <v>82.5</v>
      </c>
      <c r="AJ3240" s="2">
        <f>AI3240*T3240</f>
        <v>0</v>
      </c>
      <c r="AK3240" s="2">
        <f>T3240-W3240</f>
        <v>82.5</v>
      </c>
      <c r="AL3240" s="5">
        <f>(T3240-W3240)/T3240</f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>(T3241-W3241)/T3241</f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>AJ3241</f>
        <v>0</v>
      </c>
      <c r="AG3241" s="2">
        <f>W3241</f>
        <v>55.2</v>
      </c>
      <c r="AJ3241" s="2">
        <f>AI3241*T3241</f>
        <v>0</v>
      </c>
      <c r="AK3241" s="2">
        <f>T3241-W3241</f>
        <v>82.8</v>
      </c>
      <c r="AL3241" s="5">
        <f>(T3241-W3241)/T3241</f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>(T3242-W3242)/T3242</f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>AJ3242</f>
        <v>0</v>
      </c>
      <c r="AG3242" s="2">
        <f>W3242</f>
        <v>18.75</v>
      </c>
      <c r="AJ3242" s="2">
        <f>AI3242*T3242</f>
        <v>0</v>
      </c>
      <c r="AK3242" s="2">
        <f>T3242-W3242</f>
        <v>18.75</v>
      </c>
      <c r="AL3242" s="5">
        <f>(T3242-W3242)/T3242</f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>(T3243-W3243)/T3243</f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>AJ3243</f>
        <v>0</v>
      </c>
      <c r="AG3243" s="2">
        <f>W3243</f>
        <v>22</v>
      </c>
      <c r="AJ3243" s="2">
        <f>AI3243*T3243</f>
        <v>0</v>
      </c>
      <c r="AK3243" s="2">
        <f>T3243-W3243</f>
        <v>33</v>
      </c>
      <c r="AL3243" s="5">
        <f>(T3243-W3243)/T3243</f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>(T3244-W3244)/T3244</f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>AJ3244</f>
        <v>0</v>
      </c>
      <c r="AG3244" s="2">
        <f>W3244</f>
        <v>55</v>
      </c>
      <c r="AJ3244" s="2">
        <f>AI3244*T3244</f>
        <v>0</v>
      </c>
      <c r="AK3244" s="2">
        <f>T3244-W3244</f>
        <v>55</v>
      </c>
      <c r="AL3244" s="5">
        <f>(T3244-W3244)/T3244</f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>(T3245-W3245)/T3245</f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>AJ3245</f>
        <v>0</v>
      </c>
      <c r="AG3245" s="2">
        <f>W3245</f>
        <v>117.2</v>
      </c>
      <c r="AJ3245" s="2">
        <f>AI3245*T3245</f>
        <v>0</v>
      </c>
      <c r="AK3245" s="2">
        <f>T3245-W3245</f>
        <v>175.8</v>
      </c>
      <c r="AL3245" s="5">
        <f>(T3245-W3245)/T3245</f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>(T3246-W3246)/T3246</f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>AJ3246</f>
        <v>0</v>
      </c>
      <c r="AG3246" s="2">
        <f>W3246</f>
        <v>43.75</v>
      </c>
      <c r="AJ3246" s="2">
        <f>AI3246*T3246</f>
        <v>0</v>
      </c>
      <c r="AK3246" s="2">
        <f>T3246-W3246</f>
        <v>43.75</v>
      </c>
      <c r="AL3246" s="5">
        <f>(T3246-W3246)/T3246</f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>(T3247-W3247)/T3247</f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>AJ3247</f>
        <v>0</v>
      </c>
      <c r="AG3247" s="2">
        <f>W3247</f>
        <v>20</v>
      </c>
      <c r="AJ3247" s="2">
        <f>AI3247*T3247</f>
        <v>0</v>
      </c>
      <c r="AK3247" s="2">
        <f>T3247-W3247</f>
        <v>30</v>
      </c>
      <c r="AL3247" s="5">
        <f>(T3247-W3247)/T3247</f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>(T3248-W3248)/T3248</f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>AJ3248</f>
        <v>0</v>
      </c>
      <c r="AG3248" s="2">
        <f>W3248</f>
        <v>31.25</v>
      </c>
      <c r="AJ3248" s="2">
        <f>AI3248*T3248</f>
        <v>0</v>
      </c>
      <c r="AK3248" s="2">
        <f>T3248-W3248</f>
        <v>31.25</v>
      </c>
      <c r="AL3248" s="5">
        <f>(T3248-W3248)/T3248</f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>(T3249-W3249)/T3249</f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>AJ3249</f>
        <v>0</v>
      </c>
      <c r="AG3249" s="2">
        <f>W3249</f>
        <v>22</v>
      </c>
      <c r="AJ3249" s="2">
        <f>AI3249*T3249</f>
        <v>0</v>
      </c>
      <c r="AK3249" s="2">
        <f>T3249-W3249</f>
        <v>33</v>
      </c>
      <c r="AL3249" s="5">
        <f>(T3249-W3249)/T3249</f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>(T3250-W3250)/T3250</f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>AJ3250</f>
        <v>0</v>
      </c>
      <c r="AG3250" s="2">
        <f>W3250</f>
        <v>27.5</v>
      </c>
      <c r="AJ3250" s="2">
        <f>AI3250*T3250</f>
        <v>0</v>
      </c>
      <c r="AK3250" s="2">
        <f>T3250-W3250</f>
        <v>27.5</v>
      </c>
      <c r="AL3250" s="5">
        <f>(T3250-W3250)/T3250</f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>(T3251-W3251)/T3251</f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>AJ3251</f>
        <v>0</v>
      </c>
      <c r="AG3251" s="2">
        <f>W3251</f>
        <v>35.200000000000003</v>
      </c>
      <c r="AJ3251" s="2">
        <f>AI3251*T3251</f>
        <v>0</v>
      </c>
      <c r="AK3251" s="2">
        <f>T3251-W3251</f>
        <v>52.8</v>
      </c>
      <c r="AL3251" s="5">
        <f>(T3251-W3251)/T3251</f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>(T3252-W3252)/T3252</f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>AJ3252</f>
        <v>0</v>
      </c>
      <c r="AG3252" s="2">
        <f>W3252</f>
        <v>25</v>
      </c>
      <c r="AJ3252" s="2">
        <f>AI3252*T3252</f>
        <v>0</v>
      </c>
      <c r="AK3252" s="2">
        <f>T3252-W3252</f>
        <v>25</v>
      </c>
      <c r="AL3252" s="5">
        <f>(T3252-W3252)/T3252</f>
        <v>0.5</v>
      </c>
    </row>
    <row r="3253" spans="1:38" x14ac:dyDescent="0.2">
      <c r="A3253" s="2">
        <v>2026</v>
      </c>
      <c r="B3253" s="2">
        <v>4</v>
      </c>
      <c r="C3253" s="2" t="s">
        <v>3455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>(T3253-W3253)/T3253</f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>AJ3253</f>
        <v>0</v>
      </c>
      <c r="AG3253" s="2">
        <f>W3253</f>
        <v>24</v>
      </c>
      <c r="AJ3253" s="2">
        <f>AI3253*T3253</f>
        <v>0</v>
      </c>
      <c r="AK3253" s="2">
        <f>T3253-W3253</f>
        <v>36</v>
      </c>
      <c r="AL3253" s="5">
        <f>(T3253-W3253)/T3253</f>
        <v>0.6</v>
      </c>
    </row>
    <row r="3254" spans="1:38" x14ac:dyDescent="0.2">
      <c r="A3254" s="2">
        <v>2026</v>
      </c>
      <c r="B3254" s="2">
        <v>4</v>
      </c>
      <c r="C3254" s="2" t="s">
        <v>3455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>(T3254-W3254)/T3254</f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>AJ3254</f>
        <v>0</v>
      </c>
      <c r="AG3254" s="2">
        <f>W3254</f>
        <v>27.5</v>
      </c>
      <c r="AJ3254" s="2">
        <f>AI3254*T3254</f>
        <v>0</v>
      </c>
      <c r="AK3254" s="2">
        <f>T3254-W3254</f>
        <v>27.5</v>
      </c>
      <c r="AL3254" s="5">
        <f>(T3254-W3254)/T3254</f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>(T3255-W3255)/T3255</f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>AJ3255</f>
        <v>0</v>
      </c>
      <c r="AG3255" s="2">
        <f>W3255</f>
        <v>44</v>
      </c>
      <c r="AJ3255" s="2">
        <f>AI3255*T3255</f>
        <v>0</v>
      </c>
      <c r="AK3255" s="2">
        <f>T3255-W3255</f>
        <v>66</v>
      </c>
      <c r="AL3255" s="5">
        <f>(T3255-W3255)/T3255</f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>(T3256-W3256)/T3256</f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>AJ3256</f>
        <v>0</v>
      </c>
      <c r="AG3256" s="2">
        <f>W3256</f>
        <v>103.125</v>
      </c>
      <c r="AJ3256" s="2">
        <f>AI3256*T3256</f>
        <v>0</v>
      </c>
      <c r="AK3256" s="2">
        <f>T3256-W3256</f>
        <v>103.125</v>
      </c>
      <c r="AL3256" s="5">
        <f>(T3256-W3256)/T3256</f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>(T3257-W3257)/T3257</f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>AJ3257</f>
        <v>0</v>
      </c>
      <c r="AG3257" s="2">
        <f>W3257</f>
        <v>84</v>
      </c>
      <c r="AJ3257" s="2">
        <f>AI3257*T3257</f>
        <v>0</v>
      </c>
      <c r="AK3257" s="2">
        <f>T3257-W3257</f>
        <v>126</v>
      </c>
      <c r="AL3257" s="5">
        <f>(T3257-W3257)/T3257</f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>(T3258-W3258)/T3258</f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>AJ3258</f>
        <v>0</v>
      </c>
      <c r="AG3258" s="2">
        <f>W3258</f>
        <v>37.5</v>
      </c>
      <c r="AJ3258" s="2">
        <f>AI3258*T3258</f>
        <v>0</v>
      </c>
      <c r="AK3258" s="2">
        <f>T3258-W3258</f>
        <v>37.5</v>
      </c>
      <c r="AL3258" s="5">
        <f>(T3258-W3258)/T3258</f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>(T3259-W3259)/T3259</f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>AJ3259</f>
        <v>0</v>
      </c>
      <c r="AG3259" s="2">
        <f>W3259</f>
        <v>65.600000000000009</v>
      </c>
      <c r="AJ3259" s="2">
        <f>AI3259*T3259</f>
        <v>0</v>
      </c>
      <c r="AK3259" s="2">
        <f>T3259-W3259</f>
        <v>98.399999999999991</v>
      </c>
      <c r="AL3259" s="5">
        <f>(T3259-W3259)/T3259</f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>(T3260-W3260)/T3260</f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>AJ3260</f>
        <v>0</v>
      </c>
      <c r="AG3260" s="2">
        <f>W3260</f>
        <v>68.75</v>
      </c>
      <c r="AJ3260" s="2">
        <f>AI3260*T3260</f>
        <v>0</v>
      </c>
      <c r="AK3260" s="2">
        <f>T3260-W3260</f>
        <v>68.75</v>
      </c>
      <c r="AL3260" s="5">
        <f>(T3260-W3260)/T3260</f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>(T3261-W3261)/T3261</f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>AJ3261</f>
        <v>0</v>
      </c>
      <c r="AG3261" s="2">
        <f>W3261</f>
        <v>23.200000000000003</v>
      </c>
      <c r="AJ3261" s="2">
        <f>AI3261*T3261</f>
        <v>0</v>
      </c>
      <c r="AK3261" s="2">
        <f>T3261-W3261</f>
        <v>34.799999999999997</v>
      </c>
      <c r="AL3261" s="5">
        <f>(T3261-W3261)/T3261</f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>AJ3262</f>
        <v>0</v>
      </c>
      <c r="AG3262" s="2">
        <f>W3262</f>
        <v>0</v>
      </c>
      <c r="AJ3262" s="2">
        <f>AI3262*T3262</f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>AJ3263</f>
        <v>0</v>
      </c>
      <c r="AG3263" s="2">
        <f>W3263</f>
        <v>174</v>
      </c>
      <c r="AJ3263" s="2">
        <f>AI3263*T3263</f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>(T3264-W3264)/T3264</f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>AJ3264</f>
        <v>0</v>
      </c>
      <c r="AG3264" s="2">
        <f>W3264</f>
        <v>261.25</v>
      </c>
      <c r="AJ3264" s="2">
        <f>AI3264*T3264</f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>(T3265-W3265)/T3265</f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>AJ3265</f>
        <v>0</v>
      </c>
      <c r="AG3265" s="2">
        <f>W3265</f>
        <v>41.2</v>
      </c>
      <c r="AJ3265" s="2">
        <f>AI3265*T3265</f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>(T3266-W3266)/T3266</f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>AJ3266</f>
        <v>0</v>
      </c>
      <c r="AG3266" s="2">
        <f>W3266</f>
        <v>20.625</v>
      </c>
      <c r="AJ3266" s="2">
        <f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>(T3267-W3267)/T3267</f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>AJ3267</f>
        <v>0</v>
      </c>
      <c r="AG3267" s="2">
        <f>W3267</f>
        <v>49.6</v>
      </c>
      <c r="AJ3267" s="2">
        <f>AI3267*T3267</f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>(T3268-W3268)/T3268</f>
        <v>-0.53333333333333333</v>
      </c>
      <c r="Z3268" s="2" t="s">
        <v>170</v>
      </c>
      <c r="AA3268" s="2" t="s">
        <v>170</v>
      </c>
      <c r="AF3268" s="2">
        <f>AJ3268</f>
        <v>0</v>
      </c>
      <c r="AJ3268" s="2">
        <f>AI3268*T3268</f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>(T3269-W3269)/T3269</f>
        <v>0.08</v>
      </c>
      <c r="Z3269" s="2" t="s">
        <v>170</v>
      </c>
      <c r="AA3269" s="2" t="s">
        <v>170</v>
      </c>
      <c r="AF3269" s="2">
        <f>AJ3269</f>
        <v>0</v>
      </c>
      <c r="AJ3269" s="2">
        <f>AI3269*T3269</f>
        <v>0</v>
      </c>
      <c r="AK3269" s="2">
        <f>T3269-W3269</f>
        <v>4</v>
      </c>
      <c r="AL3269" s="5">
        <f>(T3269-W3269)/T3269</f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>(T3270-W3270)/T3270</f>
        <v>1</v>
      </c>
      <c r="Z3270" s="2" t="s">
        <v>170</v>
      </c>
      <c r="AA3270" s="2" t="s">
        <v>170</v>
      </c>
      <c r="AF3270" s="2">
        <f>AJ3270</f>
        <v>0</v>
      </c>
      <c r="AJ3270" s="2">
        <f>AI3270*T3270</f>
        <v>0</v>
      </c>
      <c r="AK3270" s="2">
        <f>T3270-W3270</f>
        <v>100</v>
      </c>
      <c r="AL3270" s="5">
        <f>(T3270-W3270)/T3270</f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>(T3271-W3271)/T3271</f>
        <v>1</v>
      </c>
      <c r="Z3271" s="2" t="s">
        <v>170</v>
      </c>
      <c r="AA3271" s="2" t="s">
        <v>170</v>
      </c>
      <c r="AF3271" s="2">
        <f>AJ3271</f>
        <v>0</v>
      </c>
      <c r="AJ3271" s="2">
        <f>AI3271*T3271</f>
        <v>0</v>
      </c>
      <c r="AK3271" s="2">
        <f>T3271-W3271</f>
        <v>8</v>
      </c>
      <c r="AL3271" s="5">
        <f>(T3271-W3271)/T3271</f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>(T3272-W3272)/T3272</f>
        <v>1</v>
      </c>
      <c r="Z3272" s="2" t="s">
        <v>170</v>
      </c>
      <c r="AA3272" s="2" t="s">
        <v>170</v>
      </c>
      <c r="AF3272" s="2">
        <f>AJ3272</f>
        <v>0</v>
      </c>
      <c r="AJ3272" s="2">
        <f>AI3272*T3272</f>
        <v>0</v>
      </c>
      <c r="AK3272" s="2">
        <f>T3272-W3272</f>
        <v>8</v>
      </c>
      <c r="AL3272" s="5">
        <f>(T3272-W3272)/T3272</f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>(T3273-W3273)/T3273</f>
        <v>1</v>
      </c>
      <c r="Z3273" s="2" t="s">
        <v>170</v>
      </c>
      <c r="AA3273" s="2" t="s">
        <v>170</v>
      </c>
      <c r="AF3273" s="2">
        <f>AJ3273</f>
        <v>0</v>
      </c>
      <c r="AJ3273" s="2">
        <f>AI3273*T3273</f>
        <v>0</v>
      </c>
      <c r="AK3273" s="2">
        <f>T3273-W3273</f>
        <v>8</v>
      </c>
      <c r="AL3273" s="5">
        <f>(T3273-W3273)/T3273</f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>(T3274-W3274)/T3274</f>
        <v>1</v>
      </c>
      <c r="Z3274" s="2" t="s">
        <v>170</v>
      </c>
      <c r="AA3274" s="2" t="s">
        <v>170</v>
      </c>
      <c r="AF3274" s="2">
        <f>AJ3274</f>
        <v>0</v>
      </c>
      <c r="AJ3274" s="2">
        <f>AI3274*T3274</f>
        <v>0</v>
      </c>
      <c r="AK3274" s="2">
        <f>T3274-W3274</f>
        <v>5</v>
      </c>
      <c r="AL3274" s="5">
        <f>(T3274-W3274)/T3274</f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>(T3275-W3275)/T3275</f>
        <v>1</v>
      </c>
      <c r="Z3275" s="2" t="s">
        <v>170</v>
      </c>
      <c r="AA3275" s="2" t="s">
        <v>170</v>
      </c>
      <c r="AF3275" s="2">
        <f>AJ3275</f>
        <v>0</v>
      </c>
      <c r="AJ3275" s="2">
        <f>AI3275*T3275</f>
        <v>0</v>
      </c>
      <c r="AK3275" s="2">
        <f>T3275-W3275</f>
        <v>5</v>
      </c>
      <c r="AL3275" s="5">
        <f>(T3275-W3275)/T3275</f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>AJ3276</f>
        <v>0</v>
      </c>
      <c r="AJ3276" s="2">
        <f>AI3276*T3276</f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>(T3277-W3277)/T3277</f>
        <v>1</v>
      </c>
      <c r="Z3277" s="2" t="s">
        <v>118</v>
      </c>
      <c r="AA3277" s="2" t="s">
        <v>1312</v>
      </c>
      <c r="AF3277" s="2">
        <f>AJ3277</f>
        <v>0</v>
      </c>
      <c r="AJ3277" s="2">
        <f>AI3277*T3277</f>
        <v>0</v>
      </c>
      <c r="AK3277" s="2">
        <f>T3277-W3277</f>
        <v>477.28</v>
      </c>
      <c r="AL3277" s="5">
        <f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>(T3278-W3278)/T3278</f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>AJ3278</f>
        <v>0</v>
      </c>
      <c r="AJ3278" s="2">
        <f>AI3278*T3278</f>
        <v>0</v>
      </c>
      <c r="AK3278" s="2">
        <f>T3278-W3278</f>
        <v>0</v>
      </c>
      <c r="AL3278" s="5">
        <f>(T3278-W3278)/T3278</f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>(T3279-W3279)/T3279</f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>AJ3279</f>
        <v>0</v>
      </c>
      <c r="AJ3279" s="2">
        <f>AI3279*T3279</f>
        <v>0</v>
      </c>
      <c r="AK3279" s="2">
        <f>T3279-W3279</f>
        <v>0</v>
      </c>
      <c r="AL3279" s="5">
        <f>(T3279-W3279)/T3279</f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>(T3280-W3280)/T3280</f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>AJ3280</f>
        <v>0</v>
      </c>
      <c r="AJ3280" s="2">
        <f>AI3280*T3280</f>
        <v>0</v>
      </c>
      <c r="AK3280" s="2">
        <f>T3280-W3280</f>
        <v>0</v>
      </c>
      <c r="AL3280" s="5">
        <f>(T3280-W3280)/T3280</f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>(T3281-W3281)/T3281</f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>AJ3281</f>
        <v>0</v>
      </c>
      <c r="AJ3281" s="2">
        <f>AI3281*T3281</f>
        <v>0</v>
      </c>
      <c r="AK3281" s="2">
        <f>T3281-W3281</f>
        <v>0</v>
      </c>
      <c r="AL3281" s="5">
        <f>(T3281-W3281)/T3281</f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>(T3282-W3282)/T3282</f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>AJ3282</f>
        <v>0</v>
      </c>
      <c r="AG3282" s="2">
        <v>9.3000000000000007</v>
      </c>
      <c r="AH3282" s="2">
        <v>21</v>
      </c>
      <c r="AJ3282" s="2">
        <f>AI3282*T3282</f>
        <v>0</v>
      </c>
      <c r="AK3282" s="2">
        <f>T3282-W3282</f>
        <v>23.4</v>
      </c>
      <c r="AL3282" s="5">
        <f>(T3282-W3282)/T3282</f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>(T3283-W3283)/T3283</f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>AJ3283</f>
        <v>0</v>
      </c>
      <c r="AG3283" s="2">
        <v>1.48</v>
      </c>
      <c r="AH3283" s="2">
        <v>1.48</v>
      </c>
      <c r="AJ3283" s="2">
        <f>AI3283*T3283</f>
        <v>0</v>
      </c>
      <c r="AK3283" s="2">
        <f>T3283-W3283</f>
        <v>0</v>
      </c>
      <c r="AL3283" s="5">
        <f>(T3283-W3283)/T3283</f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>(T3284-W3284)/T3284</f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>AJ3284</f>
        <v>0</v>
      </c>
      <c r="AJ3284" s="2">
        <f>AI3284*T3284</f>
        <v>0</v>
      </c>
      <c r="AK3284" s="2">
        <f>T3284-W3284</f>
        <v>0</v>
      </c>
      <c r="AL3284" s="5">
        <f>(T3284-W3284)/T3284</f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>(T3285-W3285)/T3285</f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>AJ3285</f>
        <v>0</v>
      </c>
      <c r="AJ3285" s="2">
        <f>AI3285*T3285</f>
        <v>0</v>
      </c>
      <c r="AK3285" s="2">
        <f>T3285-W3285</f>
        <v>0</v>
      </c>
      <c r="AL3285" s="5">
        <f>(T3285-W3285)/T3285</f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>(T3286-W3286)/T3286</f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>AJ3286</f>
        <v>0</v>
      </c>
      <c r="AJ3286" s="2">
        <f>AI3286*T3286</f>
        <v>0</v>
      </c>
      <c r="AK3286" s="2">
        <f>T3286-W3286</f>
        <v>0</v>
      </c>
      <c r="AL3286" s="5">
        <f>(T3286-W3286)/T3286</f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>(T3287-W3287)/T3287</f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>AJ3287</f>
        <v>0</v>
      </c>
      <c r="AJ3287" s="2">
        <f>AI3287*T3287</f>
        <v>0</v>
      </c>
      <c r="AK3287" s="2">
        <f>T3287-W3287</f>
        <v>0</v>
      </c>
      <c r="AL3287" s="5">
        <f>(T3287-W3287)/T3287</f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>(T3288-W3288)/T3288</f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>AJ3288</f>
        <v>0</v>
      </c>
      <c r="AJ3288" s="2">
        <f>AI3288*T3288</f>
        <v>0</v>
      </c>
      <c r="AK3288" s="2">
        <f>T3288-W3288</f>
        <v>0</v>
      </c>
      <c r="AL3288" s="5">
        <f>(T3288-W3288)/T3288</f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>(T3289-W3289)/T3289</f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>AJ3289</f>
        <v>0</v>
      </c>
      <c r="AJ3289" s="2">
        <f>AI3289*T3289</f>
        <v>0</v>
      </c>
      <c r="AK3289" s="2">
        <f>T3289-W3289</f>
        <v>0</v>
      </c>
      <c r="AL3289" s="5">
        <f>(T3289-W3289)/T3289</f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>(T3290-W3290)/T3290</f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>AJ3290</f>
        <v>0</v>
      </c>
      <c r="AJ3290" s="2">
        <f>AI3290*T3290</f>
        <v>0</v>
      </c>
      <c r="AK3290" s="2">
        <f>T3290-W3290</f>
        <v>0</v>
      </c>
      <c r="AL3290" s="5">
        <f>(T3290-W3290)/T3290</f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>(T3291-W3291)/T3291</f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>AJ3291</f>
        <v>0</v>
      </c>
      <c r="AJ3291" s="2">
        <f>AI3291*T3291</f>
        <v>0</v>
      </c>
      <c r="AK3291" s="2">
        <f>T3291-W3291</f>
        <v>0</v>
      </c>
      <c r="AL3291" s="5">
        <f>(T3291-W3291)/T3291</f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>(T3292-W3292)/T3292</f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>AJ3292</f>
        <v>0</v>
      </c>
      <c r="AJ3292" s="2">
        <f>AI3292*T3292</f>
        <v>0</v>
      </c>
      <c r="AK3292" s="2">
        <f>T3292-W3292</f>
        <v>0</v>
      </c>
      <c r="AL3292" s="5">
        <f>(T3292-W3292)/T3292</f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>(T3293-W3293)/T3293</f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>AJ3293</f>
        <v>0</v>
      </c>
      <c r="AJ3293" s="2">
        <f>AI3293*T3293</f>
        <v>0</v>
      </c>
      <c r="AK3293" s="2">
        <f>T3293-W3293</f>
        <v>0</v>
      </c>
      <c r="AL3293" s="5">
        <f>(T3293-W3293)/T3293</f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>(T3294-W3294)/T3294</f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>AJ3294</f>
        <v>0</v>
      </c>
      <c r="AG3294" s="2">
        <v>1.48</v>
      </c>
      <c r="AH3294" s="2">
        <v>1.48</v>
      </c>
      <c r="AJ3294" s="2">
        <f>AI3294*T3294</f>
        <v>0</v>
      </c>
      <c r="AK3294" s="2">
        <f>T3294-W3294</f>
        <v>0</v>
      </c>
      <c r="AL3294" s="5">
        <f>(T3294-W3294)/T3294</f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>(T3295-W3295)/T3295</f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>AJ3295</f>
        <v>0</v>
      </c>
      <c r="AJ3295" s="2">
        <f>AI3295*T3295</f>
        <v>0</v>
      </c>
      <c r="AK3295" s="2">
        <f>T3295-W3295</f>
        <v>0</v>
      </c>
      <c r="AL3295" s="5">
        <f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>(T3296-W3296)/T3296</f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>AJ3296</f>
        <v>0</v>
      </c>
      <c r="AG3296" s="2">
        <v>1.48</v>
      </c>
      <c r="AH3296" s="2">
        <v>1.48</v>
      </c>
      <c r="AJ3296" s="2">
        <f>AI3296*T3296</f>
        <v>0</v>
      </c>
      <c r="AK3296" s="2">
        <f>T3296-W3296</f>
        <v>0</v>
      </c>
      <c r="AL3296" s="5">
        <f>(T3296-W3296)/T3296</f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>(T3297-W3297)/T3297</f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>AJ3297</f>
        <v>0</v>
      </c>
      <c r="AJ3297" s="2">
        <f>AI3297*T3297</f>
        <v>0</v>
      </c>
      <c r="AK3297" s="2">
        <f>T3297-W3297</f>
        <v>0</v>
      </c>
      <c r="AL3297" s="5">
        <f>(T3297-W3297)/T3297</f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>(T3298-W3298)/T3298</f>
        <v>#DIV/0!</v>
      </c>
      <c r="Z3298" s="2" t="s">
        <v>118</v>
      </c>
      <c r="AA3298" s="2" t="s">
        <v>318</v>
      </c>
      <c r="AF3298" s="2">
        <f>AJ3298</f>
        <v>0</v>
      </c>
      <c r="AJ3298" s="2">
        <f>AI3298*T3298</f>
        <v>0</v>
      </c>
      <c r="AK3298" s="2">
        <f>T3298-W3298</f>
        <v>0</v>
      </c>
      <c r="AL3298" s="5" t="e">
        <f>(T3298-W3298)/T3298</f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>(T3299-W3299)/T3299</f>
        <v>1</v>
      </c>
      <c r="Z3299" s="2" t="s">
        <v>120</v>
      </c>
      <c r="AA3299" s="2" t="s">
        <v>3384</v>
      </c>
      <c r="AF3299" s="2">
        <f>AJ3299</f>
        <v>0</v>
      </c>
      <c r="AJ3299" s="2">
        <f>AI3299*T3299</f>
        <v>0</v>
      </c>
      <c r="AK3299" s="2">
        <f>T3299-W3299</f>
        <v>200.03</v>
      </c>
      <c r="AL3299" s="5">
        <f>(T3299-W3299)/T3299</f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>(T3300-W3300)/T3300</f>
        <v>1</v>
      </c>
      <c r="Z3300" s="2" t="s">
        <v>118</v>
      </c>
      <c r="AA3300" s="2" t="s">
        <v>119</v>
      </c>
      <c r="AB3300" s="2" t="s">
        <v>120</v>
      </c>
      <c r="AF3300" s="2">
        <f>AJ3300</f>
        <v>0</v>
      </c>
      <c r="AJ3300" s="2">
        <f>AI3300*T3300</f>
        <v>0</v>
      </c>
      <c r="AK3300" s="2">
        <f>T3300-W3300</f>
        <v>352.08</v>
      </c>
      <c r="AL3300" s="5">
        <f>(T3300-W3300)/T3300</f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>(T3301-W3301)/T3301</f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>AJ3301</f>
        <v>0</v>
      </c>
      <c r="AG3301" s="2">
        <v>5.35</v>
      </c>
      <c r="AJ3301" s="2">
        <f>AI3301*T3301</f>
        <v>0</v>
      </c>
      <c r="AK3301" s="2">
        <f>T3301-W3301</f>
        <v>5.9</v>
      </c>
      <c r="AL3301" s="5">
        <f>(T3301-W3301)/T3301</f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>(T3302-W3302)/T3302</f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>AJ3302</f>
        <v>0</v>
      </c>
      <c r="AG3302" s="2">
        <v>28.372499999999999</v>
      </c>
      <c r="AJ3302" s="2">
        <f>AI3302*T3302</f>
        <v>0</v>
      </c>
      <c r="AK3302" s="2">
        <f>T3302-W3302</f>
        <v>97.149999999999991</v>
      </c>
      <c r="AL3302" s="5">
        <f>(T3302-W3302)/T3302</f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>(T3303-W3303)/T3303</f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>AJ3303</f>
        <v>0</v>
      </c>
      <c r="AG3303" s="2">
        <v>3.5</v>
      </c>
      <c r="AJ3303" s="2">
        <f>AI3303*T3303</f>
        <v>0</v>
      </c>
      <c r="AK3303" s="2">
        <f>T3303-W3303</f>
        <v>26.560000000000002</v>
      </c>
      <c r="AL3303" s="5">
        <f>(T3303-W3303)/T3303</f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>(T3304-W3304)/T3304</f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>AJ3304</f>
        <v>0</v>
      </c>
      <c r="AG3304" s="2">
        <v>35.931699999999999</v>
      </c>
      <c r="AJ3304" s="2">
        <f>AI3304*T3304</f>
        <v>0</v>
      </c>
      <c r="AK3304" s="2">
        <f>T3304-W3304</f>
        <v>85.316600000000008</v>
      </c>
      <c r="AL3304" s="5">
        <f>(T3304-W3304)/T3304</f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>(T3305-W3305)/T3305</f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>AJ3305</f>
        <v>0</v>
      </c>
      <c r="AG3305" s="2">
        <f>14.4+0.27</f>
        <v>14.67</v>
      </c>
      <c r="AJ3305" s="2">
        <f>AI3305*T3305</f>
        <v>0</v>
      </c>
      <c r="AK3305" s="2">
        <f>T3305-W3305</f>
        <v>16.649999999999999</v>
      </c>
      <c r="AL3305" s="5">
        <f>(T3305-W3305)/T3305</f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>(T3306-W3306)/T3306</f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>AJ3306</f>
        <v>0</v>
      </c>
      <c r="AG3306" s="2">
        <v>342.22</v>
      </c>
      <c r="AJ3306" s="2">
        <f>AI3306*T3306</f>
        <v>0</v>
      </c>
      <c r="AK3306" s="2">
        <f>T3306-W3306</f>
        <v>354.09659999999997</v>
      </c>
      <c r="AL3306" s="5">
        <f>(T3306-W3306)/T3306</f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>(T3307-W3307)/T3307</f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>AJ3307</f>
        <v>0</v>
      </c>
      <c r="AG3307" s="2">
        <f>597.47+8.18</f>
        <v>605.65</v>
      </c>
      <c r="AJ3307" s="2">
        <f>AI3307*T3307</f>
        <v>0</v>
      </c>
      <c r="AK3307" s="2">
        <f>T3307-W3307</f>
        <v>637.11659999999983</v>
      </c>
      <c r="AL3307" s="5">
        <f>(T3307-W3307)/T3307</f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>(T3308-W3308)/T3308</f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>AJ3308</f>
        <v>0</v>
      </c>
      <c r="AJ3308" s="2">
        <f>AI3308*T3308</f>
        <v>0</v>
      </c>
      <c r="AK3308" s="2">
        <f>T3308-W3308</f>
        <v>29.33</v>
      </c>
      <c r="AL3308" s="5">
        <f>(T3308-W3308)/T3308</f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>(T3309-W3309)/T3309</f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>AJ3309</f>
        <v>0</v>
      </c>
      <c r="AG3309" s="2">
        <v>8.77</v>
      </c>
      <c r="AJ3309" s="2">
        <f>AI3309*T3309</f>
        <v>0</v>
      </c>
      <c r="AK3309" s="2">
        <f>T3309-W3309</f>
        <v>9.64</v>
      </c>
      <c r="AL3309" s="5">
        <f>(T3309-W3309)/T3309</f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>(T3310-W3310)/T3310</f>
        <v>1</v>
      </c>
      <c r="Z3310" s="2" t="s">
        <v>118</v>
      </c>
      <c r="AF3310" s="2">
        <f>AJ3310</f>
        <v>0</v>
      </c>
      <c r="AJ3310" s="2">
        <f>AI3310*T3310</f>
        <v>0</v>
      </c>
      <c r="AK3310" s="2">
        <f>T3310-W3310</f>
        <v>79.819999999999993</v>
      </c>
      <c r="AL3310" s="5">
        <f>(T3310-W3310)/T3310</f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>(T3311-W3311)/T3311</f>
        <v>1</v>
      </c>
      <c r="Z3311" s="2" t="s">
        <v>118</v>
      </c>
      <c r="AF3311" s="2">
        <f>AJ3311</f>
        <v>0</v>
      </c>
      <c r="AJ3311" s="2">
        <f>AI3311*T3311</f>
        <v>0</v>
      </c>
      <c r="AK3311" s="2">
        <f>T3311-W3311</f>
        <v>83.46</v>
      </c>
      <c r="AL3311" s="5">
        <f>(T3311-W3311)/T3311</f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>(T3312-W3312)/T3312</f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>AJ3312</f>
        <v>0</v>
      </c>
      <c r="AJ3312" s="2">
        <f>AI3312*T3312</f>
        <v>0</v>
      </c>
      <c r="AK3312" s="2">
        <f>T3312-W3312</f>
        <v>83.46</v>
      </c>
      <c r="AL3312" s="5">
        <f>(T3312-W3312)/T3312</f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>(T3313-W3313)/T3313</f>
        <v>1</v>
      </c>
      <c r="Z3313" s="2" t="s">
        <v>118</v>
      </c>
      <c r="AF3313" s="2">
        <f>AJ3313</f>
        <v>0</v>
      </c>
      <c r="AJ3313" s="2">
        <f>AI3313*T3313</f>
        <v>0</v>
      </c>
      <c r="AK3313" s="2">
        <f>T3313-W3313</f>
        <v>689.22</v>
      </c>
      <c r="AL3313" s="5">
        <f>(T3313-W3313)/T3313</f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>(T3314-W3314)/T3314</f>
        <v>1</v>
      </c>
      <c r="Z3314" s="2" t="s">
        <v>118</v>
      </c>
      <c r="AF3314" s="2">
        <f>AJ3314</f>
        <v>0</v>
      </c>
      <c r="AJ3314" s="2">
        <f>AI3314*T3314</f>
        <v>0</v>
      </c>
      <c r="AK3314" s="2">
        <f>T3314-W3314</f>
        <v>699.3</v>
      </c>
      <c r="AL3314" s="5">
        <f>(T3314-W3314)/T3314</f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>(T3315-W3315)/T3315</f>
        <v>1</v>
      </c>
      <c r="Z3315" s="2" t="s">
        <v>118</v>
      </c>
      <c r="AF3315" s="2">
        <f>AJ3315</f>
        <v>0</v>
      </c>
      <c r="AJ3315" s="2">
        <f>AI3315*T3315</f>
        <v>0</v>
      </c>
      <c r="AK3315" s="2">
        <f>T3315-W3315</f>
        <v>698.4</v>
      </c>
      <c r="AL3315" s="5">
        <f>(T3315-W3315)/T3315</f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>(T3316-W3316)/T3316</f>
        <v>1</v>
      </c>
      <c r="Z3316" s="2" t="s">
        <v>118</v>
      </c>
      <c r="AF3316" s="2">
        <f>AJ3316</f>
        <v>0</v>
      </c>
      <c r="AJ3316" s="2">
        <f>AI3316*T3316</f>
        <v>0</v>
      </c>
      <c r="AK3316" s="2">
        <f>T3316-W3316</f>
        <v>136.22999999999999</v>
      </c>
      <c r="AL3316" s="5">
        <f>(T3316-W3316)/T3316</f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>AJ3317</f>
        <v>0</v>
      </c>
      <c r="AG3317" s="2">
        <v>7437.5950000000003</v>
      </c>
      <c r="AJ3317" s="2">
        <f>AI3317*T3317</f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3425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>AJ3318</f>
        <v>0</v>
      </c>
      <c r="AG3318" s="2">
        <v>7437.5950000000003</v>
      </c>
      <c r="AJ3318" s="2">
        <f>AI3318*T3318</f>
        <v>0</v>
      </c>
      <c r="AK3318" s="2">
        <f>T3318-W3318</f>
        <v>4862.0050000000001</v>
      </c>
      <c r="AL3318" s="5">
        <f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3425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>AJ3319</f>
        <v>0</v>
      </c>
      <c r="AJ3319" s="2">
        <f>AI3319*T3319</f>
        <v>0</v>
      </c>
      <c r="AK3319" s="2">
        <f>T3319-W3319</f>
        <v>4320.6000000000004</v>
      </c>
      <c r="AL3319" s="5">
        <f>(T3319-W3319)/T3319</f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>AJ3320</f>
        <v>0</v>
      </c>
      <c r="AG3320" s="2">
        <v>299</v>
      </c>
      <c r="AJ3320" s="2">
        <f>AI3320*T3320</f>
        <v>0</v>
      </c>
      <c r="AK3320" s="2">
        <f>T3320-W3320</f>
        <v>70</v>
      </c>
      <c r="AL3320" s="5">
        <f>(T3320-W3320)/T3320</f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>AJ3321</f>
        <v>0</v>
      </c>
      <c r="AG3321" s="2">
        <v>14.34</v>
      </c>
      <c r="AJ3321" s="2">
        <f>AI3321*T3321</f>
        <v>0</v>
      </c>
      <c r="AK3321" s="2">
        <f>T3321-W3321</f>
        <v>9.5599999999999987</v>
      </c>
      <c r="AL3321" s="5">
        <f>(T3321-W3321)/T3321</f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>AJ3322</f>
        <v>0</v>
      </c>
      <c r="AJ3322" s="2">
        <f>AI3322*T3322</f>
        <v>0</v>
      </c>
      <c r="AK3322" s="2">
        <f>T3322-W3322</f>
        <v>1610</v>
      </c>
      <c r="AL3322" s="5">
        <f>(T3322-W3322)/T3322</f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>AJ3323</f>
        <v>0</v>
      </c>
      <c r="AJ3323" s="2">
        <f>AI3323*T3323</f>
        <v>0</v>
      </c>
      <c r="AK3323" s="2">
        <f>T3323-W3323</f>
        <v>0</v>
      </c>
      <c r="AL3323" s="5" t="e">
        <f>(T3323-W3323)/T3323</f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>AJ3324</f>
        <v>0</v>
      </c>
      <c r="AG3324" s="2">
        <v>1458</v>
      </c>
      <c r="AJ3324" s="2">
        <f>AI3324*T3324</f>
        <v>0</v>
      </c>
      <c r="AK3324" s="2">
        <f>T3324-W3324</f>
        <v>532</v>
      </c>
      <c r="AL3324" s="5">
        <f>(T3324-W3324)/T3324</f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>AJ3325</f>
        <v>0</v>
      </c>
      <c r="AJ3325" s="2">
        <f>AI3325*T3325</f>
        <v>0</v>
      </c>
      <c r="AK3325" s="2">
        <f>T3325-W3325</f>
        <v>0</v>
      </c>
      <c r="AL3325" s="5" t="e">
        <f>(T3325-W3325)/T3325</f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>AJ3326</f>
        <v>0</v>
      </c>
      <c r="AG3326" s="2">
        <v>10257</v>
      </c>
      <c r="AJ3326" s="2">
        <f>AI3326*T3326</f>
        <v>0</v>
      </c>
      <c r="AK3326" s="2">
        <f>T3326-W3326</f>
        <v>2243</v>
      </c>
      <c r="AL3326" s="5">
        <f>(T3326-W3326)/T3326</f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>AJ3327</f>
        <v>0</v>
      </c>
      <c r="AJ3327" s="2">
        <f>AI3327*T3327</f>
        <v>0</v>
      </c>
      <c r="AK3327" s="2">
        <f>T3327-W3327</f>
        <v>0</v>
      </c>
      <c r="AL3327" s="5" t="e">
        <f>(T3327-W3327)/T3327</f>
        <v>#DIV/0!</v>
      </c>
    </row>
    <row r="3328" spans="1:38" x14ac:dyDescent="0.2">
      <c r="A3328" s="2">
        <v>2026</v>
      </c>
      <c r="B3328" s="2">
        <v>3</v>
      </c>
      <c r="C3328" s="2" t="s">
        <v>3425</v>
      </c>
      <c r="D3328" s="2" t="s">
        <v>3422</v>
      </c>
      <c r="E3328" s="2" t="s">
        <v>3423</v>
      </c>
      <c r="F3328" s="2" t="s">
        <v>3424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>AJ3328</f>
        <v>0</v>
      </c>
      <c r="AG3328" s="2">
        <v>1389</v>
      </c>
      <c r="AJ3328" s="2">
        <f>AI3328*T3328</f>
        <v>0</v>
      </c>
      <c r="AK3328" s="2">
        <f>T3328-W3328</f>
        <v>111</v>
      </c>
      <c r="AL3328" s="5">
        <f>(T3328-W3328)/T3328</f>
        <v>7.3999999999999996E-2</v>
      </c>
    </row>
    <row r="3329" spans="1:38" x14ac:dyDescent="0.2">
      <c r="A3329" s="2">
        <v>2026</v>
      </c>
      <c r="B3329" s="2">
        <v>3</v>
      </c>
      <c r="C3329" s="2" t="s">
        <v>3425</v>
      </c>
      <c r="D3329" s="2" t="s">
        <v>3422</v>
      </c>
      <c r="E3329" s="2" t="s">
        <v>3423</v>
      </c>
      <c r="F3329" s="2" t="s">
        <v>3424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3385</v>
      </c>
      <c r="AC3329" s="2" t="s">
        <v>1329</v>
      </c>
      <c r="AF3329" s="2">
        <f>AJ3329</f>
        <v>0</v>
      </c>
      <c r="AJ3329" s="2">
        <f>AI3329*T3329</f>
        <v>0</v>
      </c>
      <c r="AK3329" s="2">
        <f>T3329-W3329</f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3425</v>
      </c>
      <c r="D3330" s="2" t="s">
        <v>3422</v>
      </c>
      <c r="E3330" s="2" t="s">
        <v>3423</v>
      </c>
      <c r="F3330" s="2" t="s">
        <v>3424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>AJ3330</f>
        <v>0</v>
      </c>
      <c r="AG3330" s="2">
        <v>2189</v>
      </c>
      <c r="AJ3330" s="2">
        <f>AI3330*T3330</f>
        <v>0</v>
      </c>
      <c r="AK3330" s="2">
        <f>T3330-W3330</f>
        <v>800</v>
      </c>
      <c r="AL3330" s="5">
        <f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>AJ3331</f>
        <v>0</v>
      </c>
      <c r="AG3331" s="2">
        <v>1195</v>
      </c>
      <c r="AJ3331" s="2">
        <f>AI3331*T3331</f>
        <v>0</v>
      </c>
      <c r="AK3331" s="2">
        <f>T3331-W3331</f>
        <v>705</v>
      </c>
      <c r="AL3331" s="5">
        <f>(T3331-W3331)/T3331</f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>AJ3332</f>
        <v>0</v>
      </c>
      <c r="AG3332" s="2">
        <v>1195</v>
      </c>
      <c r="AJ3332" s="2">
        <f>AI3332*T3332</f>
        <v>0</v>
      </c>
      <c r="AK3332" s="2">
        <f>T3332-W3332</f>
        <v>695</v>
      </c>
      <c r="AL3332" s="5">
        <f>(T3332-W3332)/T3332</f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>AJ3333</f>
        <v>0</v>
      </c>
      <c r="AG3333" s="2">
        <v>1195</v>
      </c>
      <c r="AJ3333" s="2">
        <f>AI3333*T3333</f>
        <v>0</v>
      </c>
      <c r="AK3333" s="2">
        <f>T3333-W3333</f>
        <v>705</v>
      </c>
      <c r="AL3333" s="5">
        <f>(T3333-W3333)/T3333</f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>AJ3334</f>
        <v>0</v>
      </c>
      <c r="AG3334" s="2">
        <v>1195</v>
      </c>
      <c r="AJ3334" s="2">
        <f>AI3334*T3334</f>
        <v>0</v>
      </c>
      <c r="AK3334" s="2">
        <f>T3334-W3334</f>
        <v>705</v>
      </c>
      <c r="AL3334" s="5">
        <f>(T3334-W3334)/T3334</f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>AJ3335</f>
        <v>0</v>
      </c>
      <c r="AG3335" s="2">
        <v>0</v>
      </c>
      <c r="AH3335" s="2">
        <v>0</v>
      </c>
      <c r="AJ3335" s="2">
        <f>AI3335*T3335</f>
        <v>0</v>
      </c>
      <c r="AK3335" s="2">
        <f>T3335-W3335</f>
        <v>0</v>
      </c>
      <c r="AL3335" s="5" t="e">
        <f>(T3335-W3335)/T3335</f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>AJ3336</f>
        <v>0</v>
      </c>
      <c r="AG3336" s="2">
        <v>0</v>
      </c>
      <c r="AH3336" s="2">
        <v>0</v>
      </c>
      <c r="AJ3336" s="2">
        <f>AI3336*T3336</f>
        <v>0</v>
      </c>
      <c r="AK3336" s="2">
        <f>T3336-W3336</f>
        <v>0</v>
      </c>
      <c r="AL3336" s="5" t="e">
        <f>(T3336-W3336)/T3336</f>
        <v>#DIV/0!</v>
      </c>
    </row>
    <row r="3337" spans="1:38" x14ac:dyDescent="0.2">
      <c r="A3337" s="2">
        <v>2026</v>
      </c>
      <c r="B3337" s="2">
        <v>3</v>
      </c>
      <c r="C3337" s="2" t="s">
        <v>3425</v>
      </c>
      <c r="D3337" s="2" t="s">
        <v>3422</v>
      </c>
      <c r="E3337" s="2" t="s">
        <v>3423</v>
      </c>
      <c r="F3337" s="2" t="s">
        <v>3424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>AJ3337</f>
        <v>0</v>
      </c>
      <c r="AG3337" s="2">
        <v>0</v>
      </c>
      <c r="AH3337" s="2">
        <v>0</v>
      </c>
      <c r="AJ3337" s="2">
        <f>AI3337*T3337</f>
        <v>0</v>
      </c>
      <c r="AK3337" s="2">
        <f>T3337-W3337</f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>AJ3338</f>
        <v>0</v>
      </c>
      <c r="AG3338" s="2">
        <v>0</v>
      </c>
      <c r="AH3338" s="2">
        <v>0</v>
      </c>
      <c r="AJ3338" s="2">
        <f>AI3338*T3338</f>
        <v>0</v>
      </c>
      <c r="AK3338" s="2">
        <f>T3338-W3338</f>
        <v>0</v>
      </c>
      <c r="AL3338" s="5" t="e">
        <f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>AJ3339</f>
        <v>0</v>
      </c>
      <c r="AG3339" s="2">
        <v>0</v>
      </c>
      <c r="AH3339" s="2">
        <v>0</v>
      </c>
      <c r="AJ3339" s="2">
        <f>AI3339*T3339</f>
        <v>0</v>
      </c>
      <c r="AK3339" s="2">
        <f>T3339-W3339</f>
        <v>0</v>
      </c>
      <c r="AL3339" s="5" t="e">
        <f>(T3339-W3339)/T3339</f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>AJ3340</f>
        <v>0</v>
      </c>
      <c r="AG3340" s="2">
        <v>0</v>
      </c>
      <c r="AH3340" s="2">
        <v>0</v>
      </c>
      <c r="AJ3340" s="2">
        <f>AI3340*T3340</f>
        <v>0</v>
      </c>
      <c r="AK3340" s="2">
        <f>T3340-W3340</f>
        <v>0</v>
      </c>
      <c r="AL3340" s="5" t="e">
        <f>(T3340-W3340)/T3340</f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>AJ3341</f>
        <v>0</v>
      </c>
      <c r="AG3341" s="2">
        <v>0</v>
      </c>
      <c r="AH3341" s="2">
        <v>0</v>
      </c>
      <c r="AJ3341" s="2">
        <f>AI3341*T3341</f>
        <v>0</v>
      </c>
      <c r="AK3341" s="2">
        <f>T3341-W3341</f>
        <v>0</v>
      </c>
      <c r="AL3341" s="5" t="e">
        <f>(T3341-W3341)/T3341</f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>AJ3342</f>
        <v>0</v>
      </c>
      <c r="AG3342" s="2">
        <v>0</v>
      </c>
      <c r="AH3342" s="2">
        <v>0</v>
      </c>
      <c r="AJ3342" s="2">
        <f>AI3342*T3342</f>
        <v>0</v>
      </c>
      <c r="AK3342" s="2">
        <f>T3342-W3342</f>
        <v>0</v>
      </c>
      <c r="AL3342" s="5" t="e">
        <f>(T3342-W3342)/T3342</f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>AJ3343</f>
        <v>0</v>
      </c>
      <c r="AG3343" s="2">
        <v>0</v>
      </c>
      <c r="AH3343" s="2">
        <v>0</v>
      </c>
      <c r="AJ3343" s="2">
        <f>AI3343*T3343</f>
        <v>0</v>
      </c>
      <c r="AK3343" s="2">
        <f>T3343-W3343</f>
        <v>0</v>
      </c>
      <c r="AL3343" s="5" t="e">
        <f>(T3343-W3343)/T3343</f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>AJ3344</f>
        <v>0</v>
      </c>
      <c r="AJ3344" s="2">
        <f>AI3344*T3344</f>
        <v>0</v>
      </c>
      <c r="AK3344" s="2">
        <f>T3344-W3344</f>
        <v>124.72</v>
      </c>
      <c r="AL3344" s="5">
        <f>(T3344-W3344)/T3344</f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>(T3345-W3345)/T3345</f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>AJ3345</f>
        <v>0</v>
      </c>
      <c r="AG3345" s="2">
        <v>2.4323999999999999</v>
      </c>
      <c r="AH3345" s="2">
        <v>7.9</v>
      </c>
      <c r="AJ3345" s="2">
        <f>AI3345*T3345</f>
        <v>0</v>
      </c>
      <c r="AK3345" s="2">
        <f>T3345-W3345</f>
        <v>52.950000000000017</v>
      </c>
      <c r="AL3345" s="5">
        <f>(T3345-W3345)/T3345</f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>(T3346-W3346)/T3346</f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>AJ3346</f>
        <v>0</v>
      </c>
      <c r="AG3346" s="2">
        <v>2.4323999999999999</v>
      </c>
      <c r="AH3346" s="2">
        <v>7.9</v>
      </c>
      <c r="AJ3346" s="2">
        <f>AI3346*T3346</f>
        <v>0</v>
      </c>
      <c r="AK3346" s="2">
        <f>T3346-W3346</f>
        <v>5.5300000000000011</v>
      </c>
      <c r="AL3346" s="5">
        <f>(T3346-W3346)/T3346</f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>(T3347-W3347)/T3347</f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>AJ3347</f>
        <v>0</v>
      </c>
      <c r="AG3347" s="2">
        <v>297</v>
      </c>
      <c r="AH3347" s="2">
        <v>595</v>
      </c>
      <c r="AJ3347" s="2">
        <f>AI3347*T3347</f>
        <v>0</v>
      </c>
      <c r="AK3347" s="2">
        <f>T3347-W3347</f>
        <v>198</v>
      </c>
      <c r="AL3347" s="5">
        <f>(T3347-W3347)/T3347</f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>(T3348-W3348)/T3348</f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>AJ3348</f>
        <v>0</v>
      </c>
      <c r="AG3348" s="2">
        <v>1239</v>
      </c>
      <c r="AH3348" s="2">
        <v>2950</v>
      </c>
      <c r="AJ3348" s="2">
        <f>AI3348*T3348</f>
        <v>0</v>
      </c>
      <c r="AK3348" s="2">
        <f>T3348-W3348</f>
        <v>261</v>
      </c>
      <c r="AL3348" s="5">
        <f>(T3348-W3348)/T3348</f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>14.5099*S3349</f>
        <v>145.09899999999999</v>
      </c>
      <c r="X3349" s="5">
        <f>(T3349-W3349)/T3349</f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>AJ3349</f>
        <v>0</v>
      </c>
      <c r="AJ3349" s="2">
        <f>AI3349*T3349</f>
        <v>0</v>
      </c>
      <c r="AK3349" s="2">
        <f>T3349-W3349</f>
        <v>54.90100000000001</v>
      </c>
      <c r="AL3349" s="5">
        <f>(T3349-W3349)/T3349</f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>14.5099*S3350</f>
        <v>145.09899999999999</v>
      </c>
      <c r="X3350" s="5">
        <f>(T3350-W3350)/T3350</f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>AJ3350</f>
        <v>0</v>
      </c>
      <c r="AJ3350" s="2">
        <f>AI3350*T3350</f>
        <v>0</v>
      </c>
      <c r="AK3350" s="2">
        <f>T3350-W3350</f>
        <v>54.90100000000001</v>
      </c>
      <c r="AL3350" s="5">
        <f>(T3350-W3350)/T3350</f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>14.5099*S3351</f>
        <v>145.09899999999999</v>
      </c>
      <c r="X3351" s="5">
        <f>(T3351-W3351)/T3351</f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>AJ3351</f>
        <v>0</v>
      </c>
      <c r="AJ3351" s="2">
        <f>AI3351*T3351</f>
        <v>0</v>
      </c>
      <c r="AK3351" s="2">
        <f>T3351-W3351</f>
        <v>54.90100000000001</v>
      </c>
      <c r="AL3351" s="5">
        <f>(T3351-W3351)/T3351</f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>14.5099*S3352</f>
        <v>290.19799999999998</v>
      </c>
      <c r="X3352" s="5">
        <f>(T3352-W3352)/T3352</f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>AJ3352</f>
        <v>0</v>
      </c>
      <c r="AJ3352" s="2">
        <f>AI3352*T3352</f>
        <v>0</v>
      </c>
      <c r="AK3352" s="2">
        <f>T3352-W3352</f>
        <v>109.80200000000002</v>
      </c>
      <c r="AL3352" s="5">
        <f>(T3352-W3352)/T3352</f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>14.5099*S3353</f>
        <v>145.09899999999999</v>
      </c>
      <c r="X3353" s="5">
        <f>(T3353-W3353)/T3353</f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>AJ3353</f>
        <v>0</v>
      </c>
      <c r="AJ3353" s="2">
        <f>AI3353*T3353</f>
        <v>0</v>
      </c>
      <c r="AK3353" s="2">
        <f>T3353-W3353</f>
        <v>54.90100000000001</v>
      </c>
      <c r="AL3353" s="5">
        <f>(T3353-W3353)/T3353</f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>14.5099*S3354</f>
        <v>145.09899999999999</v>
      </c>
      <c r="X3354" s="5">
        <f>(T3354-W3354)/T3354</f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>AJ3354</f>
        <v>0</v>
      </c>
      <c r="AJ3354" s="2">
        <f>AI3354*T3354</f>
        <v>0</v>
      </c>
      <c r="AK3354" s="2">
        <f>T3354-W3354</f>
        <v>54.90100000000001</v>
      </c>
      <c r="AL3354" s="5">
        <f>(T3354-W3354)/T3354</f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>14.5099*S3355</f>
        <v>145.09899999999999</v>
      </c>
      <c r="X3355" s="5">
        <f>(T3355-W3355)/T3355</f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>AJ3355</f>
        <v>0</v>
      </c>
      <c r="AJ3355" s="2">
        <f>AI3355*T3355</f>
        <v>0</v>
      </c>
      <c r="AK3355" s="2">
        <f>T3355-W3355</f>
        <v>54.90100000000001</v>
      </c>
      <c r="AL3355" s="5">
        <f>(T3355-W3355)/T3355</f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>14.5099*S3356</f>
        <v>290.19799999999998</v>
      </c>
      <c r="X3356" s="5">
        <f>(T3356-W3356)/T3356</f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>AJ3356</f>
        <v>0</v>
      </c>
      <c r="AJ3356" s="2">
        <f>AI3356*T3356</f>
        <v>0</v>
      </c>
      <c r="AK3356" s="2">
        <f>T3356-W3356</f>
        <v>109.80200000000002</v>
      </c>
      <c r="AL3356" s="5">
        <f>(T3356-W3356)/T3356</f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>(T3357-W3357)/T3357</f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>AJ3357</f>
        <v>0</v>
      </c>
      <c r="AG3357" s="2">
        <v>10</v>
      </c>
      <c r="AH3357" s="2">
        <v>21</v>
      </c>
      <c r="AJ3357" s="2">
        <f>AI3357*T3357</f>
        <v>0</v>
      </c>
      <c r="AK3357" s="2">
        <f>T3357-W3357</f>
        <v>11</v>
      </c>
      <c r="AL3357" s="5">
        <f>(T3357-W3357)/T3357</f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>(T3358-W3358)/T3358</f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>AJ3358</f>
        <v>0</v>
      </c>
      <c r="AG3358" s="2">
        <v>6.6266999999999996</v>
      </c>
      <c r="AH3358" s="2">
        <v>12</v>
      </c>
      <c r="AJ3358" s="2">
        <f>AI3358*T3358</f>
        <v>0</v>
      </c>
      <c r="AK3358" s="2">
        <f>T3358-W3358</f>
        <v>12.746600000000001</v>
      </c>
      <c r="AL3358" s="5">
        <f>(T3358-W3358)/T3358</f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>(T3359-W3359)/T3359</f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>AJ3359</f>
        <v>0</v>
      </c>
      <c r="AG3359" s="2">
        <v>6.6266999999999996</v>
      </c>
      <c r="AH3359" s="2">
        <v>12</v>
      </c>
      <c r="AJ3359" s="2">
        <f>AI3359*T3359</f>
        <v>0</v>
      </c>
      <c r="AK3359" s="2">
        <f>T3359-W3359</f>
        <v>5.3733000000000004</v>
      </c>
      <c r="AL3359" s="5">
        <f>(T3359-W3359)/T3359</f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>(T3360-W3360)/T3360</f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>AJ3360</f>
        <v>0</v>
      </c>
      <c r="AG3360" s="2">
        <v>6.6266999999999996</v>
      </c>
      <c r="AH3360" s="2">
        <v>12</v>
      </c>
      <c r="AJ3360" s="2">
        <f>AI3360*T3360</f>
        <v>0</v>
      </c>
      <c r="AK3360" s="2">
        <f>T3360-W3360</f>
        <v>6.3733000000000004</v>
      </c>
      <c r="AL3360" s="5">
        <f>(T3360-W3360)/T3360</f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>(T3361-W3361)/T3361</f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>AJ3361</f>
        <v>0</v>
      </c>
      <c r="AG3361" s="2">
        <v>6.6266999999999996</v>
      </c>
      <c r="AH3361" s="2">
        <v>12</v>
      </c>
      <c r="AJ3361" s="2">
        <f>AI3361*T3361</f>
        <v>0</v>
      </c>
      <c r="AK3361" s="2">
        <f>T3361-W3361</f>
        <v>6.3733000000000004</v>
      </c>
      <c r="AL3361" s="5">
        <f>(T3361-W3361)/T3361</f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>(T3362-W3362)/T3362</f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>AJ3362</f>
        <v>0</v>
      </c>
      <c r="AG3362" s="2">
        <v>14.4</v>
      </c>
      <c r="AH3362" s="2">
        <v>21</v>
      </c>
      <c r="AJ3362" s="2">
        <f>AI3362*T3362</f>
        <v>0</v>
      </c>
      <c r="AK3362" s="2">
        <f>T3362-W3362</f>
        <v>13.2</v>
      </c>
      <c r="AL3362" s="5">
        <f>(T3362-W3362)/T3362</f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>(T3363-W3363)/T3363</f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>AJ3363</f>
        <v>0</v>
      </c>
      <c r="AG3363" s="2">
        <v>6.6266999999999996</v>
      </c>
      <c r="AH3363" s="2">
        <v>12</v>
      </c>
      <c r="AJ3363" s="2">
        <f>AI3363*T3363</f>
        <v>0</v>
      </c>
      <c r="AK3363" s="2">
        <f>T3363-W3363</f>
        <v>5.3733000000000004</v>
      </c>
      <c r="AL3363" s="5">
        <f>(T3363-W3363)/T3363</f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>(T3364-W3364)/T3364</f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>AJ3364</f>
        <v>0</v>
      </c>
      <c r="AG3364" s="2">
        <v>6.6266999999999996</v>
      </c>
      <c r="AH3364" s="2">
        <v>12</v>
      </c>
      <c r="AJ3364" s="2">
        <f>AI3364*T3364</f>
        <v>0</v>
      </c>
      <c r="AK3364" s="2">
        <f>T3364-W3364</f>
        <v>43.733000000000004</v>
      </c>
      <c r="AL3364" s="5">
        <f>(T3364-W3364)/T3364</f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>AJ3365</f>
        <v>0</v>
      </c>
      <c r="AG3365" s="2">
        <v>6.6266999999999996</v>
      </c>
      <c r="AH3365" s="2">
        <v>12</v>
      </c>
      <c r="AJ3365" s="2">
        <f>AI3365*T3365</f>
        <v>0</v>
      </c>
      <c r="AK3365" s="2">
        <f>T3365-W3365</f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>AJ3366</f>
        <v>0</v>
      </c>
      <c r="AG3366" s="2">
        <v>11.76</v>
      </c>
      <c r="AH3366" s="2">
        <v>36</v>
      </c>
      <c r="AJ3366" s="2">
        <f>AI3366*T3366</f>
        <v>0</v>
      </c>
      <c r="AK3366" s="2">
        <f>T3366-W3366</f>
        <v>24.704999999999998</v>
      </c>
      <c r="AL3366" s="5">
        <f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>(T3367-W3367)/T3367</f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>AJ3367</f>
        <v>0</v>
      </c>
      <c r="AG3367" s="2">
        <v>14.4</v>
      </c>
      <c r="AH3367" s="2">
        <v>21</v>
      </c>
      <c r="AJ3367" s="2">
        <f>AI3367*T3367</f>
        <v>0</v>
      </c>
      <c r="AK3367" s="2">
        <f>T3367-W3367</f>
        <v>6.6</v>
      </c>
      <c r="AL3367" s="5">
        <f>(T3367-W3367)/T3367</f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>(T3368-W3368)/T3368</f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>AJ3368</f>
        <v>0</v>
      </c>
      <c r="AG3368" s="2">
        <v>3.7357999999999998</v>
      </c>
      <c r="AH3368" s="2">
        <v>9</v>
      </c>
      <c r="AJ3368" s="2">
        <f>AI3368*T3368</f>
        <v>0</v>
      </c>
      <c r="AK3368" s="2">
        <f>T3368-W3368</f>
        <v>5.2642000000000007</v>
      </c>
      <c r="AL3368" s="5">
        <f>(T3368-W3368)/T3368</f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>(T3369-W3369)/T3369</f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>AJ3369</f>
        <v>0</v>
      </c>
      <c r="AG3369" s="2">
        <v>3.7357999999999998</v>
      </c>
      <c r="AH3369" s="2">
        <v>9</v>
      </c>
      <c r="AJ3369" s="2">
        <f>AI3369*T3369</f>
        <v>0</v>
      </c>
      <c r="AK3369" s="2">
        <f>T3369-W3369</f>
        <v>5.2642000000000007</v>
      </c>
      <c r="AL3369" s="5">
        <f>(T3369-W3369)/T3369</f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>(T3370-W3370)/T3370</f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>AJ3370</f>
        <v>0</v>
      </c>
      <c r="AG3370" s="2">
        <v>3.7357999999999998</v>
      </c>
      <c r="AH3370" s="2">
        <v>9</v>
      </c>
      <c r="AJ3370" s="2">
        <f>AI3370*T3370</f>
        <v>0</v>
      </c>
      <c r="AK3370" s="2">
        <f>T3370-W3370</f>
        <v>10.528400000000001</v>
      </c>
      <c r="AL3370" s="5">
        <f>(T3370-W3370)/T3370</f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>(T3371-W3371)/T3371</f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>AJ3371</f>
        <v>0</v>
      </c>
      <c r="AG3371" s="2">
        <v>3.7357999999999998</v>
      </c>
      <c r="AH3371" s="2">
        <v>9</v>
      </c>
      <c r="AJ3371" s="2">
        <f>AI3371*T3371</f>
        <v>0</v>
      </c>
      <c r="AK3371" s="2">
        <f>T3371-W3371</f>
        <v>5.2642000000000007</v>
      </c>
      <c r="AL3371" s="5">
        <f>(T3371-W3371)/T3371</f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>(T3372-W3372)/T3372</f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>AJ3372</f>
        <v>0</v>
      </c>
      <c r="AG3372" s="2">
        <v>5.2972999999999999</v>
      </c>
      <c r="AH3372" s="2">
        <v>10.8</v>
      </c>
      <c r="AJ3372" s="2">
        <f>AI3372*T3372</f>
        <v>0</v>
      </c>
      <c r="AK3372" s="2">
        <f>T3372-W3372</f>
        <v>5.5027000000000008</v>
      </c>
      <c r="AL3372" s="5">
        <f>(T3372-W3372)/T3372</f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>(T3373-W3373)/T3373</f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>AJ3373</f>
        <v>0</v>
      </c>
      <c r="AG3373" s="2">
        <v>5.2972999999999999</v>
      </c>
      <c r="AH3373" s="2">
        <v>10.8</v>
      </c>
      <c r="AJ3373" s="2">
        <f>AI3373*T3373</f>
        <v>0</v>
      </c>
      <c r="AK3373" s="2">
        <f>T3373-W3373</f>
        <v>5.5027000000000008</v>
      </c>
      <c r="AL3373" s="5">
        <f>(T3373-W3373)/T3373</f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>AJ3374</f>
        <v>0</v>
      </c>
      <c r="AG3374" s="2">
        <v>5.2972999999999999</v>
      </c>
      <c r="AH3374" s="2">
        <v>10.8</v>
      </c>
      <c r="AJ3374" s="2">
        <f>AI3374*T3374</f>
        <v>0</v>
      </c>
      <c r="AK3374" s="2">
        <f>T3374-W3374</f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>AJ3375</f>
        <v>0</v>
      </c>
      <c r="AJ3375" s="2">
        <f>AI3375*T3375</f>
        <v>0</v>
      </c>
      <c r="AK3375" s="2">
        <f>T3375-W3375</f>
        <v>7.085</v>
      </c>
      <c r="AL3375" s="5">
        <f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>(T3376-W3376)/T3376</f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>AJ3376</f>
        <v>0</v>
      </c>
      <c r="AJ3376" s="2">
        <f>AI3376*T3376</f>
        <v>0</v>
      </c>
      <c r="AK3376" s="2">
        <f>T3376-W3376</f>
        <v>9.1649999999999991</v>
      </c>
      <c r="AL3376" s="5">
        <f>(T3376-W3376)/T3376</f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E3377" s="2" t="s">
        <v>38</v>
      </c>
      <c r="F3377" s="2" t="s">
        <v>39</v>
      </c>
      <c r="L3377" s="2" t="s">
        <v>419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>(T3377-W3377)/T3377</f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>AJ3377</f>
        <v>0</v>
      </c>
      <c r="AJ3377" s="2">
        <f>AI3377*T3377</f>
        <v>0</v>
      </c>
      <c r="AK3377" s="2">
        <f>T3377-W3377</f>
        <v>12.745000000000001</v>
      </c>
      <c r="AL3377" s="5">
        <f>(T3377-W3377)/T3377</f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E3378" s="2" t="s">
        <v>38</v>
      </c>
      <c r="F3378" s="2" t="s">
        <v>39</v>
      </c>
      <c r="L3378" s="2" t="s">
        <v>419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>(T3378-W3378)/T3378</f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>AJ3378</f>
        <v>0</v>
      </c>
      <c r="AJ3378" s="2">
        <f>AI3378*T3378</f>
        <v>0</v>
      </c>
      <c r="AK3378" s="2">
        <f>T3378-W3378</f>
        <v>49.2</v>
      </c>
      <c r="AL3378" s="5">
        <f>(T3378-W3378)/T3378</f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>(T3379-W3379)/T3379</f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>AJ3379</f>
        <v>0</v>
      </c>
      <c r="AJ3379" s="2">
        <f>AI3379*T3379</f>
        <v>0</v>
      </c>
      <c r="AK3379" s="2">
        <f>T3379-W3379</f>
        <v>30</v>
      </c>
      <c r="AL3379" s="5">
        <f>(T3379-W3379)/T3379</f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>(T3380-W3380)/T3380</f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>AJ3380</f>
        <v>0</v>
      </c>
      <c r="AJ3380" s="2">
        <f>AI3380*T3380</f>
        <v>0</v>
      </c>
      <c r="AK3380" s="2">
        <f>T3380-W3380</f>
        <v>13.2</v>
      </c>
      <c r="AL3380" s="5">
        <f>(T3380-W3380)/T3380</f>
        <v>1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>(T3381-W3381)/T3381</f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>AJ3381</f>
        <v>0</v>
      </c>
      <c r="AG3381" s="2">
        <v>5.9066999999999998</v>
      </c>
      <c r="AH3381" s="2">
        <v>12.6</v>
      </c>
      <c r="AJ3381" s="2">
        <f>AI3381*T3381</f>
        <v>0</v>
      </c>
      <c r="AK3381" s="2">
        <f>T3381-W3381</f>
        <v>6.6932999999999998</v>
      </c>
      <c r="AL3381" s="5">
        <f>(T3381-W3381)/T3381</f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>(T3382-W3382)/T3382</f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>AJ3382</f>
        <v>0</v>
      </c>
      <c r="AG3382" s="2">
        <v>5.9066999999999998</v>
      </c>
      <c r="AH3382" s="2">
        <v>12.6</v>
      </c>
      <c r="AJ3382" s="2">
        <f>AI3382*T3382</f>
        <v>0</v>
      </c>
      <c r="AK3382" s="2">
        <f>T3382-W3382</f>
        <v>6.6932999999999998</v>
      </c>
      <c r="AL3382" s="5">
        <f>(T3382-W3382)/T3382</f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>(T3383-W3383)/T3383</f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>AJ3383</f>
        <v>0</v>
      </c>
      <c r="AG3383" s="2">
        <v>7.2217000000000002</v>
      </c>
      <c r="AH3383" s="2">
        <v>14.4</v>
      </c>
      <c r="AJ3383" s="2">
        <f>AI3383*T3383</f>
        <v>0</v>
      </c>
      <c r="AK3383" s="2">
        <f>T3383-W3383</f>
        <v>14.3566</v>
      </c>
      <c r="AL3383" s="5">
        <f>(T3383-W3383)/T3383</f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>(T3384-W3384)/T3384</f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>AJ3384</f>
        <v>0</v>
      </c>
      <c r="AG3384" s="2">
        <v>7.2217000000000002</v>
      </c>
      <c r="AH3384" s="2">
        <v>14.4</v>
      </c>
      <c r="AJ3384" s="2">
        <f>AI3384*T3384</f>
        <v>0</v>
      </c>
      <c r="AK3384" s="2">
        <f>T3384-W3384</f>
        <v>7.1783000000000001</v>
      </c>
      <c r="AL3384" s="5">
        <f>(T3384-W3384)/T3384</f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>(T3385-W3385)/T3385</f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>AJ3385</f>
        <v>0</v>
      </c>
      <c r="AJ3385" s="2">
        <f>AI3385*T3385</f>
        <v>0</v>
      </c>
      <c r="AK3385" s="2">
        <f>T3385-W3385</f>
        <v>8.3249999999999993</v>
      </c>
      <c r="AL3385" s="5">
        <f>(T3385-W3385)/T3385</f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>(T3386-W3386)/T3386</f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>AJ3386</f>
        <v>0</v>
      </c>
      <c r="AJ3386" s="2">
        <f>AI3386*T3386</f>
        <v>0</v>
      </c>
      <c r="AK3386" s="2">
        <f>T3386-W3386</f>
        <v>16.649999999999999</v>
      </c>
      <c r="AL3386" s="5">
        <f>(T3386-W3386)/T3386</f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>(T3387-W3387)/T3387</f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>AJ3387</f>
        <v>0</v>
      </c>
      <c r="AJ3387" s="2">
        <f>AI3387*T3387</f>
        <v>0</v>
      </c>
      <c r="AK3387" s="2">
        <f>T3387-W3387</f>
        <v>8.3249999999999993</v>
      </c>
      <c r="AL3387" s="5">
        <f>(T3387-W3387)/T3387</f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>(T3388-W3388)/T3388</f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>AJ3388</f>
        <v>0</v>
      </c>
      <c r="AJ3388" s="2">
        <f>AI3388*T3388</f>
        <v>0</v>
      </c>
      <c r="AK3388" s="2">
        <f>T3388-W3388</f>
        <v>21</v>
      </c>
      <c r="AL3388" s="5">
        <f>(T3388-W3388)/T3388</f>
        <v>1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>(T3389-W3389)/T3389</f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>AJ3389</f>
        <v>0</v>
      </c>
      <c r="AJ3389" s="2">
        <f>AI3389*T3389</f>
        <v>0</v>
      </c>
      <c r="AK3389" s="2">
        <f>T3389-W3389</f>
        <v>42</v>
      </c>
      <c r="AL3389" s="5">
        <f>(T3389-W3389)/T3389</f>
        <v>1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2">13.4067*S3390</f>
        <v>26.813400000000001</v>
      </c>
      <c r="X3390" s="5">
        <f>(T3390-W3390)/T3390</f>
        <v>0.4679880952380952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>AJ3390</f>
        <v>0</v>
      </c>
      <c r="AJ3390" s="2">
        <f>AI3390*T3390</f>
        <v>0</v>
      </c>
      <c r="AK3390" s="2">
        <f>T3390-W3390</f>
        <v>23.586599999999997</v>
      </c>
      <c r="AL3390" s="5">
        <f>(T3390-W3390)/T3390</f>
        <v>0.4679880952380952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2"/>
        <v>13.406700000000001</v>
      </c>
      <c r="X3391" s="5">
        <f>(T3391-W3391)/T3391</f>
        <v>0.4679880952380952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>AJ3391</f>
        <v>0</v>
      </c>
      <c r="AJ3391" s="2">
        <f>AI3391*T3391</f>
        <v>0</v>
      </c>
      <c r="AK3391" s="2">
        <f>T3391-W3391</f>
        <v>11.793299999999999</v>
      </c>
      <c r="AL3391" s="5">
        <f>(T3391-W3391)/T3391</f>
        <v>0.4679880952380952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3">16.2249*S3392</f>
        <v>32.449800000000003</v>
      </c>
      <c r="X3392" s="5">
        <f>(T3392-W3392)/T3392</f>
        <v>0.45916999999999997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>AJ3392</f>
        <v>0</v>
      </c>
      <c r="AJ3392" s="2">
        <f>AI3392*T3392</f>
        <v>0</v>
      </c>
      <c r="AK3392" s="2">
        <f>T3392-W3392</f>
        <v>27.550199999999997</v>
      </c>
      <c r="AL3392" s="5">
        <f>(T3392-W3392)/T3392</f>
        <v>0.45916999999999997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3"/>
        <v>16.224900000000002</v>
      </c>
      <c r="X3393" s="5">
        <f>(T3393-W3393)/T3393</f>
        <v>0.45916999999999997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>AJ3393</f>
        <v>0</v>
      </c>
      <c r="AJ3393" s="2">
        <f>AI3393*T3393</f>
        <v>0</v>
      </c>
      <c r="AK3393" s="2">
        <f>T3393-W3393</f>
        <v>13.775099999999998</v>
      </c>
      <c r="AL3393" s="5">
        <f>(T3393-W3393)/T3393</f>
        <v>0.45916999999999997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>(T3394-W3394)/T3394</f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>AJ3394</f>
        <v>0</v>
      </c>
      <c r="AJ3394" s="2">
        <f>AI3394*T3394</f>
        <v>0</v>
      </c>
      <c r="AK3394" s="2">
        <f>T3394-W3394</f>
        <v>18</v>
      </c>
      <c r="AL3394" s="5">
        <f>(T3394-W3394)/T3394</f>
        <v>1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>(T3395-W3395)/T3395</f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>AJ3395</f>
        <v>0</v>
      </c>
      <c r="AJ3395" s="2">
        <f>AI3395*T3395</f>
        <v>0</v>
      </c>
      <c r="AK3395" s="2">
        <f>T3395-W3395</f>
        <v>36</v>
      </c>
      <c r="AL3395" s="5">
        <f>(T3395-W3395)/T3395</f>
        <v>1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>(T3396-W3396)/T3396</f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>AJ3396</f>
        <v>0</v>
      </c>
      <c r="AJ3396" s="2">
        <f>AI3396*T3396</f>
        <v>0</v>
      </c>
      <c r="AK3396" s="2">
        <f>T3396-W3396</f>
        <v>39.6</v>
      </c>
      <c r="AL3396" s="5">
        <f>(T3396-W3396)/T3396</f>
        <v>1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>(T3397-W3397)/T3397</f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>AJ3397</f>
        <v>0</v>
      </c>
      <c r="AJ3397" s="2">
        <f>AI3397*T3397</f>
        <v>0</v>
      </c>
      <c r="AK3397" s="2">
        <f>T3397-W3397</f>
        <v>45.6</v>
      </c>
      <c r="AL3397" s="5">
        <f>(T3397-W3397)/T3397</f>
        <v>1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>(T3398-W3398)/T3398</f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>AJ3398</f>
        <v>0</v>
      </c>
      <c r="AJ3398" s="2">
        <f>AI3398*T3398</f>
        <v>0</v>
      </c>
      <c r="AK3398" s="2">
        <f>T3398-W3398</f>
        <v>22.58</v>
      </c>
      <c r="AL3398" s="5">
        <f>(T3398-W3398)/T3398</f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>10.6*S3399</f>
        <v>106</v>
      </c>
      <c r="X3399" s="5">
        <f>(T3399-W3399)/T3399</f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>AJ3399</f>
        <v>0</v>
      </c>
      <c r="AG3399" s="2">
        <v>10.6</v>
      </c>
      <c r="AH3399" s="2">
        <v>18</v>
      </c>
      <c r="AJ3399" s="2">
        <f>AI3399*T3399</f>
        <v>0</v>
      </c>
      <c r="AK3399" s="2">
        <f>T3399-W3399</f>
        <v>39</v>
      </c>
      <c r="AL3399" s="5">
        <f>(T3399-W3399)/T3399</f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>10.6*S3400</f>
        <v>127.19999999999999</v>
      </c>
      <c r="X3400" s="5">
        <f>(T3400-W3400)/T3400</f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>AJ3400</f>
        <v>0</v>
      </c>
      <c r="AG3400" s="2">
        <v>10.6</v>
      </c>
      <c r="AH3400" s="2">
        <v>18</v>
      </c>
      <c r="AJ3400" s="2">
        <f>AI3400*T3400</f>
        <v>0</v>
      </c>
      <c r="AK3400" s="2">
        <f>T3400-W3400</f>
        <v>52.800000000000011</v>
      </c>
      <c r="AL3400" s="5">
        <f>(T3400-W3400)/T3400</f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>10.6*S3401</f>
        <v>21.2</v>
      </c>
      <c r="X3401" s="5">
        <f>(T3401-W3401)/T3401</f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>AJ3401</f>
        <v>0</v>
      </c>
      <c r="AG3401" s="2">
        <v>10.6</v>
      </c>
      <c r="AH3401" s="2">
        <v>18</v>
      </c>
      <c r="AJ3401" s="2">
        <f>AI3401*T3401</f>
        <v>0</v>
      </c>
      <c r="AK3401" s="2">
        <f>T3401-W3401</f>
        <v>14.8</v>
      </c>
      <c r="AL3401" s="5">
        <f>(T3401-W3401)/T3401</f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>10.6*S3402</f>
        <v>21.2</v>
      </c>
      <c r="X3402" s="5">
        <f>(T3402-W3402)/T3402</f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>AJ3402</f>
        <v>0</v>
      </c>
      <c r="AG3402" s="2">
        <v>10.6</v>
      </c>
      <c r="AH3402" s="2">
        <v>18</v>
      </c>
      <c r="AJ3402" s="2">
        <f>AI3402*T3402</f>
        <v>0</v>
      </c>
      <c r="AK3402" s="2">
        <f>T3402-W3402</f>
        <v>14.8</v>
      </c>
      <c r="AL3402" s="5">
        <f>(T3402-W3402)/T3402</f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>10.6*S3403</f>
        <v>10.6</v>
      </c>
      <c r="X3403" s="5">
        <f>(T3403-W3403)/T3403</f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>AJ3403</f>
        <v>0</v>
      </c>
      <c r="AG3403" s="2">
        <v>10.6</v>
      </c>
      <c r="AH3403" s="2">
        <v>18</v>
      </c>
      <c r="AJ3403" s="2">
        <f>AI3403*T3403</f>
        <v>0</v>
      </c>
      <c r="AK3403" s="2">
        <f>T3403-W3403</f>
        <v>7.4</v>
      </c>
      <c r="AL3403" s="5">
        <f>(T3403-W3403)/T3403</f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>10.6*S3404</f>
        <v>21.2</v>
      </c>
      <c r="X3404" s="5">
        <f>(T3404-W3404)/T3404</f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>AJ3404</f>
        <v>0</v>
      </c>
      <c r="AG3404" s="2">
        <v>10.6</v>
      </c>
      <c r="AH3404" s="2">
        <v>18</v>
      </c>
      <c r="AJ3404" s="2">
        <f>AI3404*T3404</f>
        <v>0</v>
      </c>
      <c r="AK3404" s="2">
        <f>T3404-W3404</f>
        <v>14.8</v>
      </c>
      <c r="AL3404" s="5">
        <f>(T3404-W3404)/T3404</f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>(T3405-W3405)/T3405</f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>AJ3405</f>
        <v>0</v>
      </c>
      <c r="AJ3405" s="2">
        <f>AI3405*T3405</f>
        <v>0</v>
      </c>
      <c r="AK3405" s="2">
        <f>T3405-W3405</f>
        <v>22.4</v>
      </c>
      <c r="AL3405" s="5">
        <f>(T3405-W3405)/T3405</f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>10.6*S3406</f>
        <v>31.799999999999997</v>
      </c>
      <c r="X3406" s="5">
        <f>(T3406-W3406)/T3406</f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>AJ3406</f>
        <v>0</v>
      </c>
      <c r="AG3406" s="2">
        <v>10.6</v>
      </c>
      <c r="AH3406" s="2">
        <v>18</v>
      </c>
      <c r="AJ3406" s="2">
        <f>AI3406*T3406</f>
        <v>0</v>
      </c>
      <c r="AK3406" s="2">
        <f>T3406-W3406</f>
        <v>22.200000000000003</v>
      </c>
      <c r="AL3406" s="5">
        <f>(T3406-W3406)/T3406</f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>10.6*S3407</f>
        <v>42.4</v>
      </c>
      <c r="X3407" s="5">
        <f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>AJ3407</f>
        <v>0</v>
      </c>
      <c r="AG3407" s="2">
        <v>10.6</v>
      </c>
      <c r="AH3407" s="2">
        <v>18</v>
      </c>
      <c r="AJ3407" s="2">
        <f>AI3407*T3407</f>
        <v>0</v>
      </c>
      <c r="AK3407" s="2">
        <f>T3407-W3407</f>
        <v>21.6</v>
      </c>
      <c r="AL3407" s="5">
        <f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>10.6*S3408</f>
        <v>10.6</v>
      </c>
      <c r="X3408" s="5">
        <f>(T3408-W3408)/T3408</f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>AJ3408</f>
        <v>0</v>
      </c>
      <c r="AG3408" s="2">
        <v>10.6</v>
      </c>
      <c r="AH3408" s="2">
        <v>18</v>
      </c>
      <c r="AJ3408" s="2">
        <f>AI3408*T3408</f>
        <v>0</v>
      </c>
      <c r="AK3408" s="2">
        <f>T3408-W3408</f>
        <v>7.4</v>
      </c>
      <c r="AL3408" s="5">
        <f>(T3408-W3408)/T3408</f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>10.6*S3409</f>
        <v>106</v>
      </c>
      <c r="X3409" s="5">
        <f>(T3409-W3409)/T3409</f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>AJ3409</f>
        <v>0</v>
      </c>
      <c r="AG3409" s="2">
        <v>10.6</v>
      </c>
      <c r="AH3409" s="2">
        <v>18</v>
      </c>
      <c r="AJ3409" s="2">
        <f>AI3409*T3409</f>
        <v>0</v>
      </c>
      <c r="AK3409" s="2">
        <f>T3409-W3409</f>
        <v>44</v>
      </c>
      <c r="AL3409" s="5">
        <f>(T3409-W3409)/T3409</f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>10.6*S3410</f>
        <v>106</v>
      </c>
      <c r="X3410" s="5">
        <f>(T3410-W3410)/T3410</f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>AJ3410</f>
        <v>0</v>
      </c>
      <c r="AG3410" s="2">
        <v>10.6</v>
      </c>
      <c r="AH3410" s="2">
        <v>18</v>
      </c>
      <c r="AJ3410" s="2">
        <f>AI3410*T3410</f>
        <v>0</v>
      </c>
      <c r="AK3410" s="2">
        <f>T3410-W3410</f>
        <v>39</v>
      </c>
      <c r="AL3410" s="5">
        <f>(T3410-W3410)/T3410</f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>10.6*S3411</f>
        <v>10.6</v>
      </c>
      <c r="X3411" s="5">
        <f>(T3411-W3411)/T3411</f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>AJ3411</f>
        <v>0</v>
      </c>
      <c r="AG3411" s="2">
        <v>10.6</v>
      </c>
      <c r="AH3411" s="2">
        <v>18</v>
      </c>
      <c r="AJ3411" s="2">
        <f>AI3411*T3411</f>
        <v>0</v>
      </c>
      <c r="AK3411" s="2">
        <f>T3411-W3411</f>
        <v>7.4</v>
      </c>
      <c r="AL3411" s="5">
        <f>(T3411-W3411)/T3411</f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>10.6*S3412</f>
        <v>21.2</v>
      </c>
      <c r="X3412" s="5">
        <f>(T3412-W3412)/T3412</f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>AJ3412</f>
        <v>0</v>
      </c>
      <c r="AG3412" s="2">
        <v>10.6</v>
      </c>
      <c r="AH3412" s="2">
        <v>18</v>
      </c>
      <c r="AJ3412" s="2">
        <f>AI3412*T3412</f>
        <v>0</v>
      </c>
      <c r="AK3412" s="2">
        <f>T3412-W3412</f>
        <v>14.8</v>
      </c>
      <c r="AL3412" s="5">
        <f>(T3412-W3412)/T3412</f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>(T3413-W3413)/T3413</f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>AJ3413</f>
        <v>0</v>
      </c>
      <c r="AG3413" s="2">
        <v>29.27</v>
      </c>
      <c r="AH3413" s="2">
        <v>60</v>
      </c>
      <c r="AJ3413" s="2">
        <f>AI3413*T3413</f>
        <v>0</v>
      </c>
      <c r="AK3413" s="2">
        <f>T3413-W3413</f>
        <v>30.73</v>
      </c>
      <c r="AL3413" s="5">
        <f>(T3413-W3413)/T3413</f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>(T3414-W3414)/T3414</f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>AJ3414</f>
        <v>0</v>
      </c>
      <c r="AG3414" s="2">
        <v>29.27</v>
      </c>
      <c r="AH3414" s="2">
        <v>60</v>
      </c>
      <c r="AJ3414" s="2">
        <f>AI3414*T3414</f>
        <v>0</v>
      </c>
      <c r="AK3414" s="2">
        <f>T3414-W3414</f>
        <v>30.73</v>
      </c>
      <c r="AL3414" s="5">
        <f>(T3414-W3414)/T3414</f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>(T3415-W3415)/T3415</f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>AJ3415</f>
        <v>0</v>
      </c>
      <c r="AG3415" s="2">
        <v>9.14</v>
      </c>
      <c r="AH3415" s="2">
        <v>16</v>
      </c>
      <c r="AJ3415" s="2">
        <f>AI3415*T3415</f>
        <v>0</v>
      </c>
      <c r="AK3415" s="2">
        <f>T3415-W3415</f>
        <v>19.300000000000004</v>
      </c>
      <c r="AL3415" s="5">
        <f>(T3415-W3415)/T3415</f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>(T3416-W3416)/T3416</f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>AJ3416</f>
        <v>0</v>
      </c>
      <c r="AG3416" s="2">
        <v>9.14</v>
      </c>
      <c r="AH3416" s="2">
        <v>16</v>
      </c>
      <c r="AJ3416" s="2">
        <f>AI3416*T3416</f>
        <v>0</v>
      </c>
      <c r="AK3416" s="2">
        <f>T3416-W3416</f>
        <v>5.8600000000000012</v>
      </c>
      <c r="AL3416" s="5">
        <f>(T3416-W3416)/T3416</f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>(T3417-W3417)/T3417</f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>AJ3417</f>
        <v>0</v>
      </c>
      <c r="AG3417" s="2">
        <v>8.1999999999999993</v>
      </c>
      <c r="AH3417" s="2">
        <v>13</v>
      </c>
      <c r="AJ3417" s="2">
        <f>AI3417*T3417</f>
        <v>0</v>
      </c>
      <c r="AK3417" s="2">
        <f>T3417-W3417</f>
        <v>65.599999999999994</v>
      </c>
      <c r="AL3417" s="5">
        <f>(T3417-W3417)/T3417</f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>(T3418-W3418)/T3418</f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>AJ3418</f>
        <v>0</v>
      </c>
      <c r="AG3418" s="2">
        <v>8.1999999999999993</v>
      </c>
      <c r="AH3418" s="2">
        <v>13</v>
      </c>
      <c r="AJ3418" s="2">
        <f>AI3418*T3418</f>
        <v>0</v>
      </c>
      <c r="AK3418" s="2">
        <f>T3418-W3418</f>
        <v>4.7999999999999989</v>
      </c>
      <c r="AL3418" s="5">
        <f>(T3418-W3418)/T3418</f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>(T3419-W3419)/T3419</f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>AJ3419</f>
        <v>0</v>
      </c>
      <c r="AG3419" s="2">
        <v>8.1999999999999993</v>
      </c>
      <c r="AH3419" s="2">
        <v>13</v>
      </c>
      <c r="AJ3419" s="2">
        <f>AI3419*T3419</f>
        <v>0</v>
      </c>
      <c r="AK3419" s="2">
        <f>T3419-W3419</f>
        <v>4.7999999999999989</v>
      </c>
      <c r="AL3419" s="5">
        <f>(T3419-W3419)/T3419</f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>(T3420-W3420)/T3420</f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>AJ3420</f>
        <v>0</v>
      </c>
      <c r="AG3420" s="2">
        <v>8.1999999999999993</v>
      </c>
      <c r="AH3420" s="2">
        <v>13</v>
      </c>
      <c r="AJ3420" s="2">
        <f>AI3420*T3420</f>
        <v>0</v>
      </c>
      <c r="AK3420" s="2">
        <f>T3420-W3420</f>
        <v>4.7999999999999989</v>
      </c>
      <c r="AL3420" s="5">
        <f>(T3420-W3420)/T3420</f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>(T3421-W3421)/T3421</f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>AJ3421</f>
        <v>0</v>
      </c>
      <c r="AG3421" s="2">
        <v>8.1999999999999993</v>
      </c>
      <c r="AH3421" s="2">
        <v>13</v>
      </c>
      <c r="AJ3421" s="2">
        <f>AI3421*T3421</f>
        <v>0</v>
      </c>
      <c r="AK3421" s="2">
        <f>T3421-W3421</f>
        <v>4.7999999999999989</v>
      </c>
      <c r="AL3421" s="5">
        <f>(T3421-W3421)/T3421</f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>(T3422-W3422)/T3422</f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>AJ3422</f>
        <v>0</v>
      </c>
      <c r="AG3422" s="2">
        <v>5.9066999999999998</v>
      </c>
      <c r="AH3422" s="2">
        <v>12.6</v>
      </c>
      <c r="AJ3422" s="2">
        <f>AI3422*T3422</f>
        <v>0</v>
      </c>
      <c r="AK3422" s="2">
        <f>T3422-W3422</f>
        <v>13.3866</v>
      </c>
      <c r="AL3422" s="5">
        <f>(T3422-W3422)/T3422</f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>(T3423-W3423)/T3423</f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>AJ3423</f>
        <v>0</v>
      </c>
      <c r="AG3423" s="2">
        <v>8.1999999999999993</v>
      </c>
      <c r="AH3423" s="2">
        <v>13</v>
      </c>
      <c r="AJ3423" s="2">
        <f>AI3423*T3423</f>
        <v>0</v>
      </c>
      <c r="AK3423" s="2">
        <f>T3423-W3423</f>
        <v>7.5999999999999979</v>
      </c>
      <c r="AL3423" s="5">
        <f>(T3423-W3423)/T3423</f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>(T3424-W3424)/T3424</f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>AJ3424</f>
        <v>0</v>
      </c>
      <c r="AG3424" s="2">
        <v>8.1999999999999993</v>
      </c>
      <c r="AH3424" s="2">
        <v>13</v>
      </c>
      <c r="AJ3424" s="2">
        <f>AI3424*T3424</f>
        <v>0</v>
      </c>
      <c r="AK3424" s="2">
        <f>T3424-W3424</f>
        <v>9.5999999999999979</v>
      </c>
      <c r="AL3424" s="5">
        <f>(T3424-W3424)/T3424</f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1103</v>
      </c>
      <c r="J3425" s="2" t="s">
        <v>1104</v>
      </c>
      <c r="L3425" s="2" t="s">
        <v>178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>(T3425-W3425)/T3425</f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>AJ3425</f>
        <v>0</v>
      </c>
      <c r="AG3425" s="2">
        <v>8.1999999999999993</v>
      </c>
      <c r="AH3425" s="2">
        <v>13</v>
      </c>
      <c r="AJ3425" s="2">
        <f>AI3425*T3425</f>
        <v>0</v>
      </c>
      <c r="AK3425" s="2">
        <f>T3425-W3425</f>
        <v>28</v>
      </c>
      <c r="AL3425" s="5">
        <f>(T3425-W3425)/T3425</f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>AJ3426</f>
        <v>0</v>
      </c>
      <c r="AG3426" s="2">
        <v>8.1999999999999993</v>
      </c>
      <c r="AH3426" s="2">
        <v>13</v>
      </c>
      <c r="AJ3426" s="2">
        <f>AI3426*T3426</f>
        <v>0</v>
      </c>
      <c r="AK3426" s="2">
        <f>T3426-W3426</f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>AJ3427</f>
        <v>0</v>
      </c>
      <c r="AG3427" s="2">
        <v>8.1999999999999993</v>
      </c>
      <c r="AH3427" s="2">
        <v>13</v>
      </c>
      <c r="AJ3427" s="2">
        <f>AI3427*T3427</f>
        <v>0</v>
      </c>
      <c r="AK3427" s="2">
        <f>T3427-W3427</f>
        <v>23</v>
      </c>
      <c r="AL3427" s="5">
        <f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>(T3428-W3428)/T3428</f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>AJ3428</f>
        <v>0</v>
      </c>
      <c r="AJ3428" s="2">
        <f>AI3428*T3428</f>
        <v>0</v>
      </c>
      <c r="AK3428" s="2">
        <f>T3428-W3428</f>
        <v>5.8600000000000012</v>
      </c>
      <c r="AL3428" s="5">
        <f>(T3428-W3428)/T3428</f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>(T3429-W3429)/T3429</f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>AJ3429</f>
        <v>0</v>
      </c>
      <c r="AJ3429" s="2">
        <f>AI3429*T3429</f>
        <v>0</v>
      </c>
      <c r="AK3429" s="2">
        <f>T3429-W3429</f>
        <v>19.300000000000004</v>
      </c>
      <c r="AL3429" s="5">
        <f>(T3429-W3429)/T3429</f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E3430" s="2" t="s">
        <v>38</v>
      </c>
      <c r="F3430" s="2" t="s">
        <v>39</v>
      </c>
      <c r="L3430" s="2" t="s">
        <v>419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>(T3430-W3430)/T3430</f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>AJ3430</f>
        <v>0</v>
      </c>
      <c r="AJ3430" s="2">
        <f>AI3430*T3430</f>
        <v>0</v>
      </c>
      <c r="AK3430" s="2">
        <f>T3430-W3430</f>
        <v>4.8600000000000012</v>
      </c>
      <c r="AL3430" s="5">
        <f>(T3430-W3430)/T3430</f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>(T3431-W3431)/T3431</f>
        <v>0.67333333333333334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>AJ3431</f>
        <v>0</v>
      </c>
      <c r="AJ3431" s="2">
        <f>AI3431*T3431</f>
        <v>0</v>
      </c>
      <c r="AK3431" s="2">
        <f>T3431-W3431</f>
        <v>4.04</v>
      </c>
      <c r="AL3431" s="5">
        <f>(T3431-W3431)/T3431</f>
        <v>0.67333333333333334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>(T3432-W3432)/T3432</f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>AJ3432</f>
        <v>0</v>
      </c>
      <c r="AJ3432" s="2">
        <f>AI3432*T3432</f>
        <v>0</v>
      </c>
      <c r="AK3432" s="2">
        <f>T3432-W3432</f>
        <v>21</v>
      </c>
      <c r="AL3432" s="5">
        <f>(T3432-W3432)/T3432</f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>(T3433-W3433)/T3433</f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>AJ3433</f>
        <v>0</v>
      </c>
      <c r="AG3433" s="2">
        <v>1.8320000000000001</v>
      </c>
      <c r="AH3433" s="2">
        <v>2.4</v>
      </c>
      <c r="AJ3433" s="2">
        <f>AI3433*T3433</f>
        <v>0</v>
      </c>
      <c r="AK3433" s="2">
        <f>T3433-W3433</f>
        <v>1.1359999999999997</v>
      </c>
      <c r="AL3433" s="5">
        <f>(T3433-W3433)/T3433</f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>(T3434-W3434)/T3434</f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>AJ3434</f>
        <v>0</v>
      </c>
      <c r="AG3434" s="2">
        <v>3.7555999999999998</v>
      </c>
      <c r="AH3434" s="2">
        <v>7.2</v>
      </c>
      <c r="AJ3434" s="2">
        <f>AI3434*T3434</f>
        <v>0</v>
      </c>
      <c r="AK3434" s="2">
        <f>T3434-W3434</f>
        <v>68.888000000000005</v>
      </c>
      <c r="AL3434" s="5">
        <f>(T3434-W3434)/T3434</f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>(T3435-W3435)/T3435</f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>AJ3435</f>
        <v>0</v>
      </c>
      <c r="AG3435" s="2">
        <v>0.85609999999999997</v>
      </c>
      <c r="AH3435" s="2">
        <v>1.8</v>
      </c>
      <c r="AJ3435" s="2">
        <f>AI3435*T3435</f>
        <v>0</v>
      </c>
      <c r="AK3435" s="2">
        <f>T3435-W3435</f>
        <v>18.878</v>
      </c>
      <c r="AL3435" s="5">
        <f>(T3435-W3435)/T3435</f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>(T3436-W3436)/T3436</f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>AJ3436</f>
        <v>0</v>
      </c>
      <c r="AG3436" s="2">
        <v>1.1122000000000001</v>
      </c>
      <c r="AH3436" s="2">
        <v>3</v>
      </c>
      <c r="AJ3436" s="2">
        <f>AI3436*T3436</f>
        <v>0</v>
      </c>
      <c r="AK3436" s="2">
        <f>T3436-W3436</f>
        <v>75.512</v>
      </c>
      <c r="AL3436" s="5">
        <f>(T3436-W3436)/T3436</f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>(T3437-W3437)/T3437</f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>AJ3437</f>
        <v>0</v>
      </c>
      <c r="AG3437" s="2">
        <v>1.4114</v>
      </c>
      <c r="AH3437" s="2">
        <v>3</v>
      </c>
      <c r="AJ3437" s="2">
        <f>AI3437*T3437</f>
        <v>0</v>
      </c>
      <c r="AK3437" s="2">
        <f>T3437-W3437</f>
        <v>31.771999999999998</v>
      </c>
      <c r="AL3437" s="5">
        <f>(T3437-W3437)/T3437</f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>AJ3438</f>
        <v>0</v>
      </c>
      <c r="AJ3438" s="2">
        <f>AI3438*T3438</f>
        <v>0</v>
      </c>
      <c r="AK3438" s="2">
        <f>T3438-W3438</f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>AJ3439</f>
        <v>0</v>
      </c>
      <c r="AG3439" s="2">
        <v>7.9611999999999998</v>
      </c>
      <c r="AH3439" s="2">
        <v>14.4</v>
      </c>
      <c r="AJ3439" s="2">
        <f>AI3439*T3439</f>
        <v>0</v>
      </c>
      <c r="AK3439" s="2">
        <f>T3439-W3439</f>
        <v>52.710400000000007</v>
      </c>
      <c r="AL3439" s="5">
        <f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>(T3440-W3440)/T3440</f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>AJ3440</f>
        <v>0</v>
      </c>
      <c r="AG3440" s="2">
        <v>15.020300000000001</v>
      </c>
      <c r="AH3440" s="2">
        <v>27.6</v>
      </c>
      <c r="AJ3440" s="2">
        <f>AI3440*T3440</f>
        <v>0</v>
      </c>
      <c r="AK3440" s="2">
        <f>T3440-W3440</f>
        <v>12.579700000000001</v>
      </c>
      <c r="AL3440" s="5">
        <f>(T3440-W3440)/T3440</f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>(T3441-W3441)/T3441</f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>AJ3441</f>
        <v>0</v>
      </c>
      <c r="AG3441" s="2">
        <v>15.020300000000001</v>
      </c>
      <c r="AH3441" s="2">
        <v>27.6</v>
      </c>
      <c r="AJ3441" s="2">
        <f>AI3441*T3441</f>
        <v>0</v>
      </c>
      <c r="AK3441" s="2">
        <f>T3441-W3441</f>
        <v>8.4796999999999993</v>
      </c>
      <c r="AL3441" s="5">
        <f>(T3441-W3441)/T3441</f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>(T3442-W3442)/T3442</f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>AJ3442</f>
        <v>0</v>
      </c>
      <c r="AG3442" s="2">
        <v>15.020300000000001</v>
      </c>
      <c r="AH3442" s="2">
        <v>27.6</v>
      </c>
      <c r="AJ3442" s="2">
        <f>AI3442*T3442</f>
        <v>0</v>
      </c>
      <c r="AK3442" s="2">
        <f>T3442-W3442</f>
        <v>8.4796999999999993</v>
      </c>
      <c r="AL3442" s="5">
        <f>(T3442-W3442)/T3442</f>
        <v>0.3608382978723404</v>
      </c>
    </row>
    <row r="3443" spans="1:38" x14ac:dyDescent="0.2">
      <c r="A3443" s="2">
        <v>2026</v>
      </c>
      <c r="B3443" s="2">
        <v>3</v>
      </c>
      <c r="C3443" s="2" t="s">
        <v>3448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>(T3443-W3443)/T3443</f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>AJ3443</f>
        <v>0</v>
      </c>
      <c r="AG3443" s="2">
        <v>15.020300000000001</v>
      </c>
      <c r="AH3443" s="2">
        <v>27.6</v>
      </c>
      <c r="AJ3443" s="2">
        <f>AI3443*T3443</f>
        <v>0</v>
      </c>
      <c r="AK3443" s="2">
        <f>T3443-W3443</f>
        <v>27.918799999999997</v>
      </c>
      <c r="AL3443" s="5">
        <f>(T3443-W3443)/T3443</f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>(T3444-W3444)/T3444</f>
        <v>1</v>
      </c>
      <c r="Z3444" s="2" t="s">
        <v>3231</v>
      </c>
      <c r="AF3444" s="2">
        <f>AJ3444</f>
        <v>0</v>
      </c>
      <c r="AJ3444" s="2">
        <f>AI3444*T3444</f>
        <v>0</v>
      </c>
      <c r="AK3444" s="2">
        <f>T3444-W3444</f>
        <v>4620</v>
      </c>
      <c r="AL3444" s="5">
        <f>(T3444-W3444)/T3444</f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>(T3445-W3445)/T3445</f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>AJ3445</f>
        <v>0</v>
      </c>
      <c r="AG3445" s="2">
        <v>893.93</v>
      </c>
      <c r="AJ3445" s="2">
        <f>AI3445*T3445</f>
        <v>0</v>
      </c>
      <c r="AK3445" s="2">
        <f>T3445-W3445</f>
        <v>856.07</v>
      </c>
      <c r="AL3445" s="5">
        <f>(T3445-W3445)/T3445</f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>(T3446-W3446)/T3446</f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>AJ3446</f>
        <v>0</v>
      </c>
      <c r="AJ3446" s="2">
        <f>AI3446*T3446</f>
        <v>0</v>
      </c>
      <c r="AK3446" s="2">
        <f>T3446-W3446</f>
        <v>1023.04</v>
      </c>
      <c r="AL3446" s="5">
        <f>(T3446-W3446)/T3446</f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>(T3447-W3447)/T3447</f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>AJ3447</f>
        <v>0</v>
      </c>
      <c r="AJ3447" s="2">
        <f>AI3447*T3447</f>
        <v>0</v>
      </c>
      <c r="AK3447" s="2">
        <f>T3447-W3447</f>
        <v>1524.45</v>
      </c>
      <c r="AL3447" s="5">
        <f>(T3447-W3447)/T3447</f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>(T3448-W3448)/T3448</f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>AJ3448</f>
        <v>0</v>
      </c>
      <c r="AJ3448" s="2">
        <f>AI3448*T3448</f>
        <v>0</v>
      </c>
      <c r="AK3448" s="2">
        <f>T3448-W3448</f>
        <v>5837.69</v>
      </c>
      <c r="AL3448" s="5">
        <f>(T3448-W3448)/T3448</f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>(T3449-W3449)/T3449</f>
        <v>1</v>
      </c>
      <c r="Z3449" s="2" t="s">
        <v>3231</v>
      </c>
      <c r="AC3449" s="2" t="s">
        <v>3235</v>
      </c>
      <c r="AF3449" s="2">
        <f>AJ3449</f>
        <v>0</v>
      </c>
      <c r="AJ3449" s="2">
        <f>AI3449*T3449</f>
        <v>0</v>
      </c>
      <c r="AK3449" s="2">
        <f>T3449-W3449</f>
        <v>60</v>
      </c>
      <c r="AL3449" s="5">
        <f>(T3449-W3449)/T3449</f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>(T3450-W3450)/T3450</f>
        <v>1</v>
      </c>
      <c r="Z3450" s="2" t="s">
        <v>3231</v>
      </c>
      <c r="AC3450" s="2" t="s">
        <v>3235</v>
      </c>
      <c r="AF3450" s="2">
        <f>AJ3450</f>
        <v>0</v>
      </c>
      <c r="AJ3450" s="2">
        <f>AI3450*T3450</f>
        <v>0</v>
      </c>
      <c r="AK3450" s="2">
        <f>T3450-W3450</f>
        <v>98</v>
      </c>
      <c r="AL3450" s="5">
        <f>(T3450-W3450)/T3450</f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>(T3451-W3451)/T3451</f>
        <v>1</v>
      </c>
      <c r="Z3451" s="2" t="s">
        <v>3231</v>
      </c>
      <c r="AC3451" s="2" t="s">
        <v>3235</v>
      </c>
      <c r="AF3451" s="2">
        <f>AJ3451</f>
        <v>0</v>
      </c>
      <c r="AJ3451" s="2">
        <f>AI3451*T3451</f>
        <v>0</v>
      </c>
      <c r="AK3451" s="2">
        <f>T3451-W3451</f>
        <v>300</v>
      </c>
      <c r="AL3451" s="5">
        <f>(T3451-W3451)/T3451</f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>(T3452-W3452)/T3452</f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>AJ3452</f>
        <v>0</v>
      </c>
      <c r="AJ3452" s="2">
        <f>AI3452*T3452</f>
        <v>0</v>
      </c>
      <c r="AK3452" s="2">
        <f>T3452-W3452</f>
        <v>22.6</v>
      </c>
      <c r="AL3452" s="5">
        <f>(T3452-W3452)/T3452</f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>(T3453-W3453)/T3453</f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>AJ3453</f>
        <v>0</v>
      </c>
      <c r="AG3453" s="2">
        <v>1130.74</v>
      </c>
      <c r="AJ3453" s="2">
        <f>AI3453*T3453</f>
        <v>0</v>
      </c>
      <c r="AK3453" s="2">
        <f>T3453-W3453</f>
        <v>639.26</v>
      </c>
      <c r="AL3453" s="5">
        <f>(T3453-W3453)/T3453</f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>(T3454-W3454)/T3454</f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>AJ3454</f>
        <v>0</v>
      </c>
      <c r="AG3454" s="2">
        <v>125.51600000000001</v>
      </c>
      <c r="AH3454" s="2">
        <v>220</v>
      </c>
      <c r="AJ3454" s="2">
        <f>AI3454*T3454</f>
        <v>0</v>
      </c>
      <c r="AK3454" s="2">
        <f>T3454-W3454</f>
        <v>94.483999999999995</v>
      </c>
      <c r="AL3454" s="5">
        <f>(T3454-W3454)/T3454</f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>(T3455-W3455)/T3455</f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>AJ3455</f>
        <v>0</v>
      </c>
      <c r="AG3455" s="2">
        <v>124.4</v>
      </c>
      <c r="AH3455" s="2">
        <v>200</v>
      </c>
      <c r="AJ3455" s="2">
        <f>AI3455*T3455</f>
        <v>0</v>
      </c>
      <c r="AK3455" s="2">
        <f>T3455-W3455</f>
        <v>85.6</v>
      </c>
      <c r="AL3455" s="5">
        <f>(T3455-W3455)/T3455</f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>(T3456-W3456)/T3456</f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>AJ3456</f>
        <v>0</v>
      </c>
      <c r="AG3456" s="2">
        <v>120.636</v>
      </c>
      <c r="AH3456" s="2">
        <v>220</v>
      </c>
      <c r="AJ3456" s="2">
        <f>AI3456*T3456</f>
        <v>0</v>
      </c>
      <c r="AK3456" s="2">
        <f>T3456-W3456</f>
        <v>99.364000000000004</v>
      </c>
      <c r="AL3456" s="5">
        <f>(T3456-W3456)/T3456</f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>(T3457-W3457)/T3457</f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>AJ3457</f>
        <v>0</v>
      </c>
      <c r="AG3457" s="2">
        <v>143.91999999999999</v>
      </c>
      <c r="AJ3457" s="2">
        <f>AI3457*T3457</f>
        <v>0</v>
      </c>
      <c r="AK3457" s="2">
        <f>T3457-W3457</f>
        <v>79.180000000000007</v>
      </c>
      <c r="AL3457" s="5">
        <f>(T3457-W3457)/T3457</f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>(T3458-W3458)/T3458</f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>AJ3458</f>
        <v>0</v>
      </c>
      <c r="AG3458" s="2">
        <v>143.91999999999999</v>
      </c>
      <c r="AJ3458" s="2">
        <f>AI3458*T3458</f>
        <v>0</v>
      </c>
      <c r="AK3458" s="2">
        <f>T3458-W3458</f>
        <v>106.08000000000001</v>
      </c>
      <c r="AL3458" s="5">
        <f>(T3458-W3458)/T3458</f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>AJ3459</f>
        <v>0</v>
      </c>
      <c r="AJ3459" s="2">
        <f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3425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>AJ3460</f>
        <v>0</v>
      </c>
      <c r="AJ3460" s="2">
        <f>AI3460*T3460</f>
        <v>0</v>
      </c>
      <c r="AK3460" s="2">
        <f>T3460-W3460</f>
        <v>90.539999999999992</v>
      </c>
      <c r="AL3460" s="5">
        <f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>(T3461-W3461)/T3461</f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>AJ3461</f>
        <v>0</v>
      </c>
      <c r="AG3461" s="2">
        <v>131.93</v>
      </c>
      <c r="AH3461" s="2">
        <v>220</v>
      </c>
      <c r="AJ3461" s="2">
        <f>AI3461*T3461</f>
        <v>0</v>
      </c>
      <c r="AK3461" s="2">
        <f>T3461-W3461</f>
        <v>98.07</v>
      </c>
      <c r="AL3461" s="5">
        <f>(T3461-W3461)/T3461</f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>(T3462-W3462)/T3462</f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>AJ3462</f>
        <v>0</v>
      </c>
      <c r="AG3462" s="2">
        <v>131.93</v>
      </c>
      <c r="AH3462" s="2">
        <v>220</v>
      </c>
      <c r="AJ3462" s="2">
        <f>AI3462*T3462</f>
        <v>0</v>
      </c>
      <c r="AK3462" s="2">
        <f>T3462-W3462</f>
        <v>86.57</v>
      </c>
      <c r="AL3462" s="5">
        <f>(T3462-W3462)/T3462</f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>(T3463-W3463)/T3463</f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>AJ3463</f>
        <v>0</v>
      </c>
      <c r="AJ3463" s="2">
        <f>AI3463*T3463</f>
        <v>0</v>
      </c>
      <c r="AK3463" s="2">
        <f>T3463-W3463</f>
        <v>161.08999999999997</v>
      </c>
      <c r="AL3463" s="5">
        <f>(T3463-W3463)/T3463</f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>(T3464-W3464)/T3464</f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>AJ3464</f>
        <v>0</v>
      </c>
      <c r="AJ3464" s="2">
        <f>AI3464*T3464</f>
        <v>0</v>
      </c>
      <c r="AK3464" s="2">
        <f>T3464-W3464</f>
        <v>89.61999999999999</v>
      </c>
      <c r="AL3464" s="5">
        <f>(T3464-W3464)/T3464</f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>(T3465-W3465)/T3465</f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>AJ3465</f>
        <v>0</v>
      </c>
      <c r="AJ3465" s="2">
        <f>AI3465*T3465</f>
        <v>0</v>
      </c>
      <c r="AK3465" s="2">
        <f>T3465-W3465</f>
        <v>122.04999999999998</v>
      </c>
      <c r="AL3465" s="5">
        <f>(T3465-W3465)/T3465</f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>(T3466-W3466)/T3466</f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>AJ3466</f>
        <v>0</v>
      </c>
      <c r="AJ3466" s="2">
        <f>AI3466*T3466</f>
        <v>0</v>
      </c>
      <c r="AK3466" s="2">
        <f>T3466-W3466</f>
        <v>112.04999999999998</v>
      </c>
      <c r="AL3466" s="5">
        <f>(T3466-W3466)/T3466</f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>(T3467-W3467)/T3467</f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>AJ3467</f>
        <v>0</v>
      </c>
      <c r="AG3467" s="2">
        <v>119.33</v>
      </c>
      <c r="AH3467" s="2">
        <v>220</v>
      </c>
      <c r="AJ3467" s="2">
        <f>AI3467*T3467</f>
        <v>0</v>
      </c>
      <c r="AK3467" s="2">
        <f>T3467-W3467</f>
        <v>17.269999999999996</v>
      </c>
      <c r="AL3467" s="5">
        <f>(T3467-W3467)/T3467</f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>(T3468-W3468)/T3468</f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>AJ3468</f>
        <v>0</v>
      </c>
      <c r="AG3468" s="2">
        <v>119.33</v>
      </c>
      <c r="AH3468" s="2">
        <v>220</v>
      </c>
      <c r="AJ3468" s="2">
        <f>AI3468*T3468</f>
        <v>0</v>
      </c>
      <c r="AK3468" s="2">
        <f>T3468-W3468</f>
        <v>100.67</v>
      </c>
      <c r="AL3468" s="5">
        <f>(T3468-W3468)/T3468</f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>(T3469-W3469)/T3469</f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>AJ3469</f>
        <v>0</v>
      </c>
      <c r="AG3469" s="2">
        <v>113.33</v>
      </c>
      <c r="AH3469" s="2">
        <v>220</v>
      </c>
      <c r="AJ3469" s="2">
        <f>AI3469*T3469</f>
        <v>0</v>
      </c>
      <c r="AK3469" s="2">
        <f>T3469-W3469</f>
        <v>106.67</v>
      </c>
      <c r="AL3469" s="5">
        <f>(T3469-W3469)/T3469</f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>(T3470-W3470)/T3470</f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>AJ3470</f>
        <v>0</v>
      </c>
      <c r="AG3470" s="2">
        <v>122.446</v>
      </c>
      <c r="AH3470" s="2">
        <v>230</v>
      </c>
      <c r="AJ3470" s="2">
        <f>AI3470*T3470</f>
        <v>0</v>
      </c>
      <c r="AK3470" s="2">
        <f>T3470-W3470</f>
        <v>107.554</v>
      </c>
      <c r="AL3470" s="5">
        <f>(T3470-W3470)/T3470</f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>(T3471-W3471)/T3471</f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>AJ3471</f>
        <v>0</v>
      </c>
      <c r="AG3471" s="2">
        <v>122.446</v>
      </c>
      <c r="AH3471" s="2">
        <v>230</v>
      </c>
      <c r="AJ3471" s="2">
        <f>AI3471*T3471</f>
        <v>0</v>
      </c>
      <c r="AK3471" s="2">
        <f>T3471-W3471</f>
        <v>215.108</v>
      </c>
      <c r="AL3471" s="5">
        <f>(T3471-W3471)/T3471</f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>(T3472-W3472)/T3472</f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>AJ3472</f>
        <v>0</v>
      </c>
      <c r="AG3472" s="2">
        <v>122.446</v>
      </c>
      <c r="AH3472" s="2">
        <v>230</v>
      </c>
      <c r="AJ3472" s="2">
        <f>AI3472*T3472</f>
        <v>0</v>
      </c>
      <c r="AK3472" s="2">
        <f>T3472-W3472</f>
        <v>107.554</v>
      </c>
      <c r="AL3472" s="5">
        <f>(T3472-W3472)/T3472</f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>(T3473-W3473)/T3473</f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>AJ3473</f>
        <v>0</v>
      </c>
      <c r="AG3473" s="2">
        <v>122.446</v>
      </c>
      <c r="AH3473" s="2">
        <v>230</v>
      </c>
      <c r="AJ3473" s="2">
        <f>AI3473*T3473</f>
        <v>0</v>
      </c>
      <c r="AK3473" s="2">
        <f>T3473-W3473</f>
        <v>107.554</v>
      </c>
      <c r="AL3473" s="5">
        <f>(T3473-W3473)/T3473</f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>(T3474-W3474)/T3474</f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>AJ3474</f>
        <v>0</v>
      </c>
      <c r="AG3474" s="2">
        <v>122.446</v>
      </c>
      <c r="AH3474" s="2">
        <v>230</v>
      </c>
      <c r="AJ3474" s="2">
        <f>AI3474*T3474</f>
        <v>0</v>
      </c>
      <c r="AK3474" s="2">
        <f>T3474-W3474</f>
        <v>107.554</v>
      </c>
      <c r="AL3474" s="5">
        <f>(T3474-W3474)/T3474</f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>(T3475-W3475)/T3475</f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>AJ3475</f>
        <v>0</v>
      </c>
      <c r="AG3475" s="2">
        <v>122.446</v>
      </c>
      <c r="AH3475" s="2">
        <v>230</v>
      </c>
      <c r="AJ3475" s="2">
        <f>AI3475*T3475</f>
        <v>0</v>
      </c>
      <c r="AK3475" s="2">
        <f>T3475-W3475</f>
        <v>107.554</v>
      </c>
      <c r="AL3475" s="5">
        <f>(T3475-W3475)/T3475</f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>(T3476-W3476)/T3476</f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>AJ3476</f>
        <v>0</v>
      </c>
      <c r="AG3476" s="2">
        <v>122.446</v>
      </c>
      <c r="AH3476" s="2">
        <v>230</v>
      </c>
      <c r="AJ3476" s="2">
        <f>AI3476*T3476</f>
        <v>0</v>
      </c>
      <c r="AK3476" s="2">
        <f>T3476-W3476</f>
        <v>107.554</v>
      </c>
      <c r="AL3476" s="5">
        <f>(T3476-W3476)/T3476</f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>(T3477-W3477)/T3477</f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>AJ3477</f>
        <v>0</v>
      </c>
      <c r="AG3477" s="2">
        <v>110.68</v>
      </c>
      <c r="AH3477" s="2">
        <v>210</v>
      </c>
      <c r="AJ3477" s="2">
        <f>AI3477*T3477</f>
        <v>0</v>
      </c>
      <c r="AK3477" s="2">
        <f>T3477-W3477</f>
        <v>89.32</v>
      </c>
      <c r="AL3477" s="5">
        <f>(T3477-W3477)/T3477</f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>(T3478-W3478)/T3478</f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>AJ3478</f>
        <v>0</v>
      </c>
      <c r="AG3478" s="2">
        <v>110.68</v>
      </c>
      <c r="AH3478" s="2">
        <v>210</v>
      </c>
      <c r="AJ3478" s="2">
        <f>AI3478*T3478</f>
        <v>0</v>
      </c>
      <c r="AK3478" s="2">
        <f>T3478-W3478</f>
        <v>89.32</v>
      </c>
      <c r="AL3478" s="5">
        <f>(T3478-W3478)/T3478</f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>(T3479-W3479)/T3479</f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>AJ3479</f>
        <v>0</v>
      </c>
      <c r="AG3479" s="2">
        <f>110.125+11.77</f>
        <v>121.895</v>
      </c>
      <c r="AJ3479" s="2">
        <f>AI3479*T3479</f>
        <v>0</v>
      </c>
      <c r="AK3479" s="2">
        <f>T3479-W3479</f>
        <v>72.855000000000004</v>
      </c>
      <c r="AL3479" s="5">
        <f>(T3479-W3479)/T3479</f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>(T3480-W3480)/T3480</f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>AJ3480</f>
        <v>0</v>
      </c>
      <c r="AJ3480" s="2">
        <f>AI3480*T3480</f>
        <v>0</v>
      </c>
      <c r="AK3480" s="2">
        <f>T3480-W3480</f>
        <v>108.58</v>
      </c>
      <c r="AL3480" s="5">
        <f>(T3480-W3480)/T3480</f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>(T3481-W3481)/T3481</f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>AJ3481</f>
        <v>0</v>
      </c>
      <c r="AJ3481" s="2">
        <f>AI3481*T3481</f>
        <v>0</v>
      </c>
      <c r="AK3481" s="2">
        <f>T3481-W3481</f>
        <v>121.77000000000001</v>
      </c>
      <c r="AL3481" s="5">
        <f>(T3481-W3481)/T3481</f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>(T3482-W3482)/T3482</f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>AJ3482</f>
        <v>0</v>
      </c>
      <c r="AG3482" s="2">
        <f>144.14+15.4</f>
        <v>159.54</v>
      </c>
      <c r="AH3482" s="2">
        <v>280</v>
      </c>
      <c r="AJ3482" s="2">
        <f>AI3482*T3482</f>
        <v>0</v>
      </c>
      <c r="AK3482" s="2">
        <f>T3482-W3482</f>
        <v>80.460000000000008</v>
      </c>
      <c r="AL3482" s="5">
        <f>(T3482-W3482)/T3482</f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>(T3483-W3483)/T3483</f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>AJ3483</f>
        <v>0</v>
      </c>
      <c r="AG3483" s="2">
        <f>144.14+15.4</f>
        <v>159.54</v>
      </c>
      <c r="AH3483" s="2">
        <v>280</v>
      </c>
      <c r="AJ3483" s="2">
        <f>AI3483*T3483</f>
        <v>0</v>
      </c>
      <c r="AK3483" s="2">
        <f>T3483-W3483</f>
        <v>120.46000000000001</v>
      </c>
      <c r="AL3483" s="5">
        <f>(T3483-W3483)/T3483</f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>(T3484-W3484)/T3484</f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>AJ3484</f>
        <v>0</v>
      </c>
      <c r="AG3484" s="2">
        <v>152.85</v>
      </c>
      <c r="AH3484" s="2">
        <v>260</v>
      </c>
      <c r="AJ3484" s="2">
        <f>AI3484*T3484</f>
        <v>0</v>
      </c>
      <c r="AK3484" s="2">
        <f>T3484-W3484</f>
        <v>162.73999999999998</v>
      </c>
      <c r="AL3484" s="5">
        <f>(T3484-W3484)/T3484</f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>(T3485-W3485)/T3485</f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>AJ3485</f>
        <v>0</v>
      </c>
      <c r="AG3485" s="2">
        <v>152.85</v>
      </c>
      <c r="AH3485" s="2">
        <v>260</v>
      </c>
      <c r="AJ3485" s="2">
        <f>AI3485*T3485</f>
        <v>0</v>
      </c>
      <c r="AK3485" s="2">
        <f>T3485-W3485</f>
        <v>94.15</v>
      </c>
      <c r="AL3485" s="5">
        <f>(T3485-W3485)/T3485</f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>(T3486-W3486)/T3486</f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>AJ3486</f>
        <v>0</v>
      </c>
      <c r="AJ3486" s="2">
        <f>AI3486*T3486</f>
        <v>0</v>
      </c>
      <c r="AK3486" s="2">
        <f>T3486-W3486</f>
        <v>114.86000000000001</v>
      </c>
      <c r="AL3486" s="5">
        <f>(T3486-W3486)/T3486</f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>(T3487-W3487)/T3487</f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>AJ3487</f>
        <v>0</v>
      </c>
      <c r="AG3487" s="2">
        <v>291.58999999999997</v>
      </c>
      <c r="AH3487" s="2">
        <v>450</v>
      </c>
      <c r="AJ3487" s="2">
        <f>AI3487*T3487</f>
        <v>0</v>
      </c>
      <c r="AK3487" s="2">
        <f>T3487-W3487</f>
        <v>35.640000000000043</v>
      </c>
      <c r="AL3487" s="5">
        <f>(T3487-W3487)/T3487</f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>(T3488-W3488)/T3488</f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>AJ3488</f>
        <v>0</v>
      </c>
      <c r="AJ3488" s="2">
        <f>AI3488*T3488</f>
        <v>0</v>
      </c>
      <c r="AK3488" s="2">
        <f>T3488-W3488</f>
        <v>251.5</v>
      </c>
      <c r="AL3488" s="5">
        <f>(T3488-W3488)/T3488</f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>(T3489-W3489)/T3489</f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>AJ3489</f>
        <v>0</v>
      </c>
      <c r="AJ3489" s="2">
        <f>AI3489*T3489</f>
        <v>0</v>
      </c>
      <c r="AK3489" s="2">
        <f>T3489-W3489</f>
        <v>163.16000000000003</v>
      </c>
      <c r="AL3489" s="5">
        <f>(T3489-W3489)/T3489</f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>(T3490-W3490)/T3490</f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>AJ3490</f>
        <v>0</v>
      </c>
      <c r="AG3490" s="2">
        <v>157.85</v>
      </c>
      <c r="AJ3490" s="2">
        <f>AI3490*T3490</f>
        <v>0</v>
      </c>
      <c r="AK3490" s="2">
        <f>T3490-W3490</f>
        <v>206.52</v>
      </c>
      <c r="AL3490" s="5">
        <f>(T3490-W3490)/T3490</f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>(T3491-W3491)/T3491</f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>AJ3491</f>
        <v>0</v>
      </c>
      <c r="AJ3491" s="2">
        <f>AI3491*T3491</f>
        <v>0</v>
      </c>
      <c r="AK3491" s="2">
        <f>T3491-W3491</f>
        <v>136.66</v>
      </c>
      <c r="AL3491" s="5">
        <f>(T3491-W3491)/T3491</f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>AJ3492</f>
        <v>0</v>
      </c>
      <c r="AG3492" s="2">
        <v>232.26</v>
      </c>
      <c r="AJ3492" s="2">
        <f>AI3492*T3492</f>
        <v>0</v>
      </c>
      <c r="AK3492" s="2">
        <f>T3492-W3492</f>
        <v>197.74</v>
      </c>
      <c r="AL3492" s="5">
        <f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>(T3493-W3493)/T3493</f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>AJ3493</f>
        <v>0</v>
      </c>
      <c r="AG3493" s="2">
        <v>270.60000000000002</v>
      </c>
      <c r="AJ3493" s="2">
        <f>AI3493*T3493</f>
        <v>0</v>
      </c>
      <c r="AK3493" s="2">
        <f>T3493-W3493</f>
        <v>129.39999999999998</v>
      </c>
      <c r="AL3493" s="5">
        <f>(T3493-W3493)/T3493</f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>(T3494-W3494)/T3494</f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>AJ3494</f>
        <v>0</v>
      </c>
      <c r="AJ3494" s="2">
        <f>AI3494*T3494</f>
        <v>0</v>
      </c>
      <c r="AK3494" s="2">
        <f>T3494-W3494</f>
        <v>4.5846</v>
      </c>
      <c r="AL3494" s="5">
        <f>(T3494-W3494)/T3494</f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>(T3495-W3495)/T3495</f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>AJ3495</f>
        <v>0</v>
      </c>
      <c r="AJ3495" s="2">
        <f>AI3495*T3495</f>
        <v>0</v>
      </c>
      <c r="AK3495" s="2">
        <f>T3495-W3495</f>
        <v>0</v>
      </c>
      <c r="AL3495" s="5" t="e">
        <f>(T3495-W3495)/T3495</f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>(T3496-W3496)/T3496</f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>AJ3496</f>
        <v>0</v>
      </c>
      <c r="AJ3496" s="2">
        <f>AI3496*T3496</f>
        <v>0</v>
      </c>
      <c r="AK3496" s="2">
        <f>T3496-W3496</f>
        <v>4.0600000000000005</v>
      </c>
      <c r="AL3496" s="5">
        <f>(T3496-W3496)/T3496</f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>(T3497-W3497)/T3497</f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>AJ3497</f>
        <v>0</v>
      </c>
      <c r="AJ3497" s="2">
        <f>AI3497*T3497</f>
        <v>0</v>
      </c>
      <c r="AK3497" s="2">
        <f>T3497-W3497</f>
        <v>8.4</v>
      </c>
      <c r="AL3497" s="5">
        <f>(T3497-W3497)/T3497</f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>(T3498-W3498)/T3498</f>
        <v>0.70177380952380952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>AJ3498</f>
        <v>0</v>
      </c>
      <c r="AJ3498" s="2">
        <f>AI3498*T3498</f>
        <v>0</v>
      </c>
      <c r="AK3498" s="2">
        <f>T3498-W3498</f>
        <v>5.8948999999999998</v>
      </c>
      <c r="AL3498" s="5">
        <f>(T3498-W3498)/T3498</f>
        <v>0.70177380952380952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>(T3499-W3499)/T3499</f>
        <v>0.15862011173184362</v>
      </c>
      <c r="Z3499" s="2" t="s">
        <v>3231</v>
      </c>
      <c r="AA3499" s="2" t="s">
        <v>88</v>
      </c>
      <c r="AC3499" s="2" t="s">
        <v>85</v>
      </c>
      <c r="AF3499" s="2">
        <f>AJ3499</f>
        <v>0</v>
      </c>
      <c r="AG3499" s="2">
        <v>1506.07</v>
      </c>
      <c r="AJ3499" s="2">
        <f>AI3499*T3499</f>
        <v>0</v>
      </c>
      <c r="AK3499" s="2">
        <f>T3499-W3499</f>
        <v>283.93000000000006</v>
      </c>
      <c r="AL3499" s="5">
        <f>(T3499-W3499)/T3499</f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>(T3500-W3500)/T3500</f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>AJ3500</f>
        <v>0</v>
      </c>
      <c r="AG3500" s="2">
        <f>1477+320.06</f>
        <v>1797.06</v>
      </c>
      <c r="AJ3500" s="2">
        <f>AI3500*T3500</f>
        <v>0</v>
      </c>
      <c r="AK3500" s="2">
        <f>T3500-W3500</f>
        <v>692.94</v>
      </c>
      <c r="AL3500" s="5">
        <f>(T3500-W3500)/T3500</f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>(T3501-W3501)/T3501</f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>AJ3501</f>
        <v>0</v>
      </c>
      <c r="AG3501" s="2">
        <f>235+50.93</f>
        <v>285.93</v>
      </c>
      <c r="AJ3501" s="2">
        <f>AI3501*T3501</f>
        <v>0</v>
      </c>
      <c r="AK3501" s="2">
        <f>T3501-W3501</f>
        <v>328.14</v>
      </c>
      <c r="AL3501" s="5">
        <f>(T3501-W3501)/T3501</f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>(T3502-W3502)/T3502</f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>AJ3502</f>
        <v>0</v>
      </c>
      <c r="AJ3502" s="2">
        <f>AI3502*T3502</f>
        <v>0</v>
      </c>
      <c r="AK3502" s="2">
        <f>T3502-W3502</f>
        <v>335.26</v>
      </c>
      <c r="AL3502" s="5">
        <f>(T3502-W3502)/T3502</f>
        <v>0.35858218533413194</v>
      </c>
    </row>
    <row r="3503" spans="1:38" x14ac:dyDescent="0.2">
      <c r="A3503" s="2">
        <v>2026</v>
      </c>
      <c r="B3503" s="2">
        <v>3</v>
      </c>
      <c r="C3503" s="2" t="s">
        <v>3448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>(T3503-W3503)/T3503</f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>AJ3503</f>
        <v>0</v>
      </c>
      <c r="AJ3503" s="2">
        <f>AI3503*T3503</f>
        <v>0</v>
      </c>
      <c r="AK3503" s="2">
        <f>T3503-W3503</f>
        <v>813.00750000000016</v>
      </c>
      <c r="AL3503" s="5">
        <f>(T3503-W3503)/T3503</f>
        <v>0.25000000000000006</v>
      </c>
    </row>
    <row r="3504" spans="1:38" x14ac:dyDescent="0.2">
      <c r="A3504" s="2">
        <v>2026</v>
      </c>
      <c r="B3504" s="2">
        <v>3</v>
      </c>
      <c r="C3504" s="2" t="s">
        <v>3448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>(T3504-W3504)/T3504</f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>AJ3504</f>
        <v>0</v>
      </c>
      <c r="AJ3504" s="2">
        <f>AI3504*T3504</f>
        <v>0</v>
      </c>
      <c r="AK3504" s="2">
        <f>T3504-W3504</f>
        <v>250</v>
      </c>
      <c r="AL3504" s="5">
        <f>(T3504-W3504)/T3504</f>
        <v>0.25</v>
      </c>
    </row>
    <row r="3505" spans="1:38" x14ac:dyDescent="0.2">
      <c r="A3505" s="2">
        <v>2026</v>
      </c>
      <c r="B3505" s="2">
        <v>3</v>
      </c>
      <c r="C3505" s="2" t="s">
        <v>3448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>(T3505-W3505)/T3505</f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>AJ3505</f>
        <v>0</v>
      </c>
      <c r="AJ3505" s="2">
        <f>AI3505*T3505</f>
        <v>0</v>
      </c>
      <c r="AK3505" s="2">
        <f>T3505-W3505</f>
        <v>375</v>
      </c>
      <c r="AL3505" s="5">
        <f>(T3505-W3505)/T3505</f>
        <v>0.25</v>
      </c>
    </row>
    <row r="3506" spans="1:38" x14ac:dyDescent="0.2">
      <c r="A3506" s="2">
        <v>2026</v>
      </c>
      <c r="B3506" s="2">
        <v>3</v>
      </c>
      <c r="C3506" s="2" t="s">
        <v>3448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>(T3506-W3506)/T3506</f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>AJ3506</f>
        <v>0</v>
      </c>
      <c r="AJ3506" s="2">
        <f>AI3506*T3506</f>
        <v>0</v>
      </c>
      <c r="AK3506" s="2">
        <f>T3506-W3506</f>
        <v>500</v>
      </c>
      <c r="AL3506" s="5">
        <f>(T3506-W3506)/T3506</f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>(T3507-W3507)/T3507</f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>AJ3507</f>
        <v>0</v>
      </c>
      <c r="AJ3507" s="2">
        <f>AI3507*T3507</f>
        <v>0</v>
      </c>
      <c r="AK3507" s="2">
        <f>T3507-W3507</f>
        <v>500</v>
      </c>
      <c r="AL3507" s="5">
        <f>(T3507-W3507)/T3507</f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>(T3508-W3508)/T3508</f>
        <v>1</v>
      </c>
      <c r="Z3508" s="2" t="s">
        <v>120</v>
      </c>
      <c r="AA3508" s="2" t="s">
        <v>493</v>
      </c>
      <c r="AF3508" s="2">
        <f>AJ3508</f>
        <v>0</v>
      </c>
      <c r="AJ3508" s="2">
        <f>AI3508*T3508</f>
        <v>0</v>
      </c>
      <c r="AK3508" s="2">
        <f>T3508-W3508</f>
        <v>678.91</v>
      </c>
      <c r="AL3508" s="5">
        <f>(T3508-W3508)/T3508</f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>(T3509-W3509)/T3509</f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>AJ3509</f>
        <v>0</v>
      </c>
      <c r="AG3509" s="2">
        <f>W3509</f>
        <v>13.75</v>
      </c>
      <c r="AJ3509" s="2">
        <f>AI3509*T3509</f>
        <v>0</v>
      </c>
      <c r="AK3509" s="2">
        <f>T3509-W3509</f>
        <v>13.75</v>
      </c>
      <c r="AL3509" s="5">
        <f>(T3509-W3509)/T3509</f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>(T3510-W3510)/T3510</f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>AJ3510</f>
        <v>0</v>
      </c>
      <c r="AG3510" s="2">
        <f>W3510</f>
        <v>51.6</v>
      </c>
      <c r="AJ3510" s="2">
        <f>AI3510*T3510</f>
        <v>0</v>
      </c>
      <c r="AK3510" s="2">
        <f>T3510-W3510</f>
        <v>77.400000000000006</v>
      </c>
      <c r="AL3510" s="5">
        <f>(T3510-W3510)/T3510</f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>(T3511-W3511)/T3511</f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>AJ3511</f>
        <v>0</v>
      </c>
      <c r="AG3511" s="2">
        <f>W3511</f>
        <v>27.5</v>
      </c>
      <c r="AJ3511" s="2">
        <f>AI3511*T3511</f>
        <v>0</v>
      </c>
      <c r="AK3511" s="2">
        <f>T3511-W3511</f>
        <v>27.5</v>
      </c>
      <c r="AL3511" s="5">
        <f>(T3511-W3511)/T3511</f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>(T3512-W3512)/T3512</f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>AJ3512</f>
        <v>0</v>
      </c>
      <c r="AG3512" s="2">
        <f>W3512</f>
        <v>106.80000000000001</v>
      </c>
      <c r="AJ3512" s="2">
        <f>AI3512*T3512</f>
        <v>0</v>
      </c>
      <c r="AK3512" s="2">
        <f>T3512-W3512</f>
        <v>160.19999999999999</v>
      </c>
      <c r="AL3512" s="5">
        <f>(T3512-W3512)/T3512</f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>(T3513-W3513)/T3513</f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>AJ3513</f>
        <v>0</v>
      </c>
      <c r="AG3513" s="2">
        <f>W3513</f>
        <v>37.5</v>
      </c>
      <c r="AJ3513" s="2">
        <f>AI3513*T3513</f>
        <v>0</v>
      </c>
      <c r="AK3513" s="2">
        <f>T3513-W3513</f>
        <v>37.5</v>
      </c>
      <c r="AL3513" s="5">
        <f>(T3513-W3513)/T3513</f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>(T3514-W3514)/T3514</f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>AJ3514</f>
        <v>0</v>
      </c>
      <c r="AG3514" s="2">
        <f>W3514</f>
        <v>72</v>
      </c>
      <c r="AJ3514" s="2">
        <f>AI3514*T3514</f>
        <v>0</v>
      </c>
      <c r="AK3514" s="2">
        <f>T3514-W3514</f>
        <v>108</v>
      </c>
      <c r="AL3514" s="5">
        <f>(T3514-W3514)/T3514</f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>(T3515-W3515)/T3515</f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>AJ3515</f>
        <v>0</v>
      </c>
      <c r="AG3515" s="2">
        <f>W3515</f>
        <v>20.625</v>
      </c>
      <c r="AJ3515" s="2">
        <f>AI3515*T3515</f>
        <v>0</v>
      </c>
      <c r="AK3515" s="2">
        <f>T3515-W3515</f>
        <v>20.625</v>
      </c>
      <c r="AL3515" s="5">
        <f>(T3515-W3515)/T3515</f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>(T3516-W3516)/T3516</f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>AJ3516</f>
        <v>0</v>
      </c>
      <c r="AG3516" s="2">
        <f>W3516</f>
        <v>48</v>
      </c>
      <c r="AJ3516" s="2">
        <f>AI3516*T3516</f>
        <v>0</v>
      </c>
      <c r="AK3516" s="2">
        <f>T3516-W3516</f>
        <v>72</v>
      </c>
      <c r="AL3516" s="5">
        <f>(T3516-W3516)/T3516</f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>(T3517-W3517)/T3517</f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>AJ3517</f>
        <v>0</v>
      </c>
      <c r="AG3517" s="2">
        <f>W3517</f>
        <v>27.5</v>
      </c>
      <c r="AJ3517" s="2">
        <f>AI3517*T3517</f>
        <v>0</v>
      </c>
      <c r="AK3517" s="2">
        <f>T3517-W3517</f>
        <v>27.5</v>
      </c>
      <c r="AL3517" s="5">
        <f>(T3517-W3517)/T3517</f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>(T3518-W3518)/T3518</f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>AJ3518</f>
        <v>0</v>
      </c>
      <c r="AG3518" s="2">
        <f>W3518</f>
        <v>22</v>
      </c>
      <c r="AJ3518" s="2">
        <f>AI3518*T3518</f>
        <v>0</v>
      </c>
      <c r="AK3518" s="2">
        <f>T3518-W3518</f>
        <v>33</v>
      </c>
      <c r="AL3518" s="5">
        <f>(T3518-W3518)/T3518</f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>(T3519-W3519)/T3519</f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>W3519</f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>(T3520-W3520)/T3520</f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>AJ3520</f>
        <v>0</v>
      </c>
      <c r="AJ3520" s="2">
        <f>AI3520*T3520</f>
        <v>0</v>
      </c>
      <c r="AK3520" s="2">
        <f>T3520-W3520</f>
        <v>275.83999999999997</v>
      </c>
      <c r="AL3520" s="5">
        <f>(T3520-W3520)/T3520</f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>(T3521-W3521)/T3521</f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>AJ3521</f>
        <v>0</v>
      </c>
      <c r="AG3521" s="2">
        <f>W3521</f>
        <v>24</v>
      </c>
      <c r="AJ3521" s="2">
        <f>AI3521*T3521</f>
        <v>0</v>
      </c>
      <c r="AK3521" s="2">
        <f>T3521-W3521</f>
        <v>36</v>
      </c>
      <c r="AL3521" s="5">
        <f>(T3521-W3521)/T3521</f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>(T3522-W3522)/T3522</f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>AJ3522</f>
        <v>0</v>
      </c>
      <c r="AG3522" s="2">
        <f>W3522</f>
        <v>55</v>
      </c>
      <c r="AJ3522" s="2">
        <f>AI3522*T3522</f>
        <v>0</v>
      </c>
      <c r="AK3522" s="2">
        <f>T3522-W3522</f>
        <v>55</v>
      </c>
      <c r="AL3522" s="5">
        <f>(T3522-W3522)/T3522</f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>(T3523-W3523)/T3523</f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>AJ3523</f>
        <v>0</v>
      </c>
      <c r="AG3523" s="2">
        <f>W3523</f>
        <v>25</v>
      </c>
      <c r="AJ3523" s="2">
        <f>AI3523*T3523</f>
        <v>0</v>
      </c>
      <c r="AK3523" s="2">
        <f>T3523-W3523</f>
        <v>25</v>
      </c>
      <c r="AL3523" s="5">
        <f>(T3523-W3523)/T3523</f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>AJ3524</f>
        <v>0</v>
      </c>
      <c r="AG3524" s="2">
        <f>W3524</f>
        <v>149.6</v>
      </c>
      <c r="AJ3524" s="2">
        <f>AI3524*T3524</f>
        <v>0</v>
      </c>
      <c r="AK3524" s="2">
        <f>T3524-W3524</f>
        <v>224.4</v>
      </c>
      <c r="AL3524" s="5">
        <f>(T3524-W3524)/T3524</f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>(T3525-W3525)/T3525</f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>AJ3525</f>
        <v>0</v>
      </c>
      <c r="AG3525" s="2">
        <f>W3525</f>
        <v>110</v>
      </c>
      <c r="AJ3525" s="2">
        <f>AI3525*T3525</f>
        <v>0</v>
      </c>
      <c r="AK3525" s="2">
        <f>T3525-W3525</f>
        <v>110</v>
      </c>
      <c r="AL3525" s="5">
        <f>(T3525-W3525)/T3525</f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>(T3526-W3526)/T3526</f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>AJ3526</f>
        <v>0</v>
      </c>
      <c r="AG3526" s="2">
        <f>W3526</f>
        <v>20</v>
      </c>
      <c r="AJ3526" s="2">
        <f>AI3526*T3526</f>
        <v>0</v>
      </c>
      <c r="AK3526" s="2">
        <f>T3526-W3526</f>
        <v>30</v>
      </c>
      <c r="AL3526" s="5">
        <f>(T3526-W3526)/T3526</f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>(T3527-W3527)/T3527</f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>AJ3527</f>
        <v>0</v>
      </c>
      <c r="AG3527" s="2">
        <f>W3527</f>
        <v>31.25</v>
      </c>
      <c r="AJ3527" s="2">
        <f>AI3527*T3527</f>
        <v>0</v>
      </c>
      <c r="AK3527" s="2">
        <f>T3527-W3527</f>
        <v>31.25</v>
      </c>
      <c r="AL3527" s="5">
        <f>(T3527-W3527)/T3527</f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>(T3528-W3528)/T3528</f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>AJ3528</f>
        <v>0</v>
      </c>
      <c r="AG3528" s="2">
        <f>W3528</f>
        <v>20</v>
      </c>
      <c r="AJ3528" s="2">
        <f>AI3528*T3528</f>
        <v>0</v>
      </c>
      <c r="AK3528" s="2">
        <f>T3528-W3528</f>
        <v>30</v>
      </c>
      <c r="AL3528" s="5">
        <f>(T3528-W3528)/T3528</f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>(T3529-W3529)/T3529</f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>AJ3529</f>
        <v>0</v>
      </c>
      <c r="AG3529" s="2">
        <f>W3529</f>
        <v>75</v>
      </c>
      <c r="AJ3529" s="2">
        <f>AI3529*T3529</f>
        <v>0</v>
      </c>
      <c r="AK3529" s="2">
        <f>T3529-W3529</f>
        <v>75</v>
      </c>
      <c r="AL3529" s="5">
        <f>(T3529-W3529)/T3529</f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>(T3530-W3530)/T3530</f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>AJ3530</f>
        <v>0</v>
      </c>
      <c r="AG3530" s="2">
        <f>W3530</f>
        <v>96</v>
      </c>
      <c r="AJ3530" s="2">
        <f>AI3530*T3530</f>
        <v>0</v>
      </c>
      <c r="AK3530" s="2">
        <f>T3530-W3530</f>
        <v>144</v>
      </c>
      <c r="AL3530" s="5">
        <f>(T3530-W3530)/T3530</f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>(T3531-W3531)/T3531</f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>AJ3531</f>
        <v>0</v>
      </c>
      <c r="AG3531" s="2">
        <f>W3531</f>
        <v>200</v>
      </c>
      <c r="AJ3531" s="2">
        <f>AI3531*T3531</f>
        <v>0</v>
      </c>
      <c r="AK3531" s="2">
        <f>T3531-W3531</f>
        <v>200</v>
      </c>
      <c r="AL3531" s="5">
        <f>(T3531-W3531)/T3531</f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>(T3532-W3532)/T3532</f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>AJ3532</f>
        <v>0</v>
      </c>
      <c r="AG3532" s="2">
        <f>W3532</f>
        <v>44</v>
      </c>
      <c r="AJ3532" s="2">
        <f>AI3532*T3532</f>
        <v>0</v>
      </c>
      <c r="AK3532" s="2">
        <f>T3532-W3532</f>
        <v>66</v>
      </c>
      <c r="AL3532" s="5">
        <f>(T3532-W3532)/T3532</f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>(T3533-W3533)/T3533</f>
        <v>1</v>
      </c>
      <c r="Z3533" s="2" t="s">
        <v>170</v>
      </c>
      <c r="AA3533" s="2" t="s">
        <v>170</v>
      </c>
      <c r="AF3533" s="2">
        <f>AJ3533</f>
        <v>0</v>
      </c>
      <c r="AJ3533" s="2">
        <f>AI3533*T3533</f>
        <v>0</v>
      </c>
      <c r="AK3533" s="2">
        <f>T3533-W3533</f>
        <v>39.39</v>
      </c>
      <c r="AL3533" s="5">
        <f>(T3533-W3533)/T3533</f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>(T3534-W3534)/T3534</f>
        <v>0.23333333333333334</v>
      </c>
      <c r="Z3534" s="2" t="s">
        <v>170</v>
      </c>
      <c r="AA3534" s="2" t="s">
        <v>170</v>
      </c>
      <c r="AF3534" s="2">
        <f>AJ3534</f>
        <v>0</v>
      </c>
      <c r="AG3534" s="2">
        <v>23</v>
      </c>
      <c r="AJ3534" s="2">
        <f>AI3534*T3534</f>
        <v>0</v>
      </c>
      <c r="AK3534" s="2">
        <f>T3534-W3534</f>
        <v>7</v>
      </c>
      <c r="AL3534" s="5">
        <f>(T3534-W3534)/T3534</f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>(T3535-W3535)/T3535</f>
        <v>1</v>
      </c>
      <c r="Z3535" s="2" t="s">
        <v>170</v>
      </c>
      <c r="AA3535" s="2" t="s">
        <v>170</v>
      </c>
      <c r="AF3535" s="2">
        <f>AJ3535</f>
        <v>0</v>
      </c>
      <c r="AJ3535" s="2">
        <f>AI3535*T3535</f>
        <v>0</v>
      </c>
      <c r="AK3535" s="2">
        <f>T3535-W3535</f>
        <v>15</v>
      </c>
      <c r="AL3535" s="5">
        <f>(T3535-W3535)/T3535</f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>(T3536-W3536)/T3536</f>
        <v>1</v>
      </c>
      <c r="Z3536" s="2" t="s">
        <v>170</v>
      </c>
      <c r="AA3536" s="2" t="s">
        <v>170</v>
      </c>
      <c r="AF3536" s="2">
        <f>AJ3536</f>
        <v>0</v>
      </c>
      <c r="AJ3536" s="2">
        <f>AI3536*T3536</f>
        <v>0</v>
      </c>
      <c r="AK3536" s="2">
        <f>T3536-W3536</f>
        <v>5</v>
      </c>
      <c r="AL3536" s="5">
        <f>(T3536-W3536)/T3536</f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>(T3537-W3537)/T3537</f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>AJ3537</f>
        <v>0</v>
      </c>
      <c r="AJ3537" s="2">
        <f>AI3537*T3537</f>
        <v>0</v>
      </c>
      <c r="AK3537" s="2">
        <f>T3537-W3537</f>
        <v>15.4</v>
      </c>
      <c r="AL3537" s="5">
        <f>(T3537-W3537)/T3537</f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>(T3538-W3538)/T3538</f>
        <v>1</v>
      </c>
      <c r="Z3538" s="2" t="s">
        <v>170</v>
      </c>
      <c r="AA3538" s="2" t="s">
        <v>170</v>
      </c>
      <c r="AF3538" s="2">
        <f>AJ3538</f>
        <v>0</v>
      </c>
      <c r="AJ3538" s="2">
        <f>AI3538*T3538</f>
        <v>0</v>
      </c>
      <c r="AK3538" s="2">
        <f>T3538-W3538</f>
        <v>5</v>
      </c>
      <c r="AL3538" s="5">
        <f>(T3538-W3538)/T3538</f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>AJ3539</f>
        <v>0</v>
      </c>
      <c r="AJ3539" s="2">
        <f>AI3539*T3539</f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>AJ3540</f>
        <v>0</v>
      </c>
      <c r="AJ3540" s="2">
        <f>AI3540*T3540</f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>(T3541-W3541)/T3541</f>
        <v>1</v>
      </c>
      <c r="Z3541" s="2" t="s">
        <v>118</v>
      </c>
      <c r="AA3541" s="2" t="s">
        <v>1312</v>
      </c>
      <c r="AF3541" s="2">
        <f>AJ3541</f>
        <v>0</v>
      </c>
      <c r="AJ3541" s="2">
        <f>AI3541*T3541</f>
        <v>0</v>
      </c>
      <c r="AK3541" s="2">
        <f>T3541-W3541</f>
        <v>111</v>
      </c>
      <c r="AL3541" s="5">
        <f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>(T3542-W3542)/T3542</f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>AJ3542</f>
        <v>0</v>
      </c>
      <c r="AJ3542" s="2">
        <f>AI3542*T3542</f>
        <v>0</v>
      </c>
      <c r="AK3542" s="2">
        <f>T3542-W3542</f>
        <v>0</v>
      </c>
      <c r="AL3542" s="5">
        <f>(T3542-W3542)/T3542</f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>(T3543-W3543)/T3543</f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>AJ3543</f>
        <v>0</v>
      </c>
      <c r="AJ3543" s="2">
        <f>AI3543*T3543</f>
        <v>0</v>
      </c>
      <c r="AK3543" s="2">
        <f>T3543-W3543</f>
        <v>0</v>
      </c>
      <c r="AL3543" s="5">
        <f>(T3543-W3543)/T3543</f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>(T3544-W3544)/T3544</f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>AJ3544</f>
        <v>0</v>
      </c>
      <c r="AG3544" s="2">
        <v>1.48</v>
      </c>
      <c r="AH3544" s="2">
        <v>1.48</v>
      </c>
      <c r="AJ3544" s="2">
        <f>AI3544*T3544</f>
        <v>0</v>
      </c>
      <c r="AK3544" s="2">
        <f>T3544-W3544</f>
        <v>0</v>
      </c>
      <c r="AL3544" s="5">
        <f>(T3544-W3544)/T3544</f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>(T3545-W3545)/T3545</f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>AJ3545</f>
        <v>0</v>
      </c>
      <c r="AJ3545" s="2">
        <f>AI3545*T3545</f>
        <v>0</v>
      </c>
      <c r="AK3545" s="2">
        <f>T3545-W3545</f>
        <v>0</v>
      </c>
      <c r="AL3545" s="5">
        <f>(T3545-W3545)/T3545</f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>(T3546-W3546)/T3546</f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>AJ3546</f>
        <v>0</v>
      </c>
      <c r="AJ3546" s="2">
        <f>AI3546*T3546</f>
        <v>0</v>
      </c>
      <c r="AK3546" s="2">
        <f>T3546-W3546</f>
        <v>0</v>
      </c>
      <c r="AL3546" s="5">
        <f>(T3546-W3546)/T3546</f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>AJ3547</f>
        <v>0</v>
      </c>
      <c r="AJ3547" s="2">
        <f>AI3547*T3547</f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>AJ3548</f>
        <v>0</v>
      </c>
      <c r="AJ3548" s="2">
        <f>AI3548*T3548</f>
        <v>0</v>
      </c>
      <c r="AK3548" s="2">
        <f>T3548-W3548</f>
        <v>0</v>
      </c>
      <c r="AL3548" s="5">
        <f>(T3548-W3548)/T3548</f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>(T3549-W3549)/T3549</f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>AJ3549</f>
        <v>0</v>
      </c>
      <c r="AJ3549" s="2">
        <f>AI3549*T3549</f>
        <v>0</v>
      </c>
      <c r="AK3549" s="2">
        <f>T3549-W3549</f>
        <v>0</v>
      </c>
      <c r="AL3549" s="5">
        <f>(T3549-W3549)/T3549</f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>(T3550-W3550)/T3550</f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>AJ3550</f>
        <v>0</v>
      </c>
      <c r="AJ3550" s="2">
        <f>AI3550*T3550</f>
        <v>0</v>
      </c>
      <c r="AK3550" s="2">
        <f>T3550-W3550</f>
        <v>0</v>
      </c>
      <c r="AL3550" s="5">
        <f>(T3550-W3550)/T3550</f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>(T3551-W3551)/T3551</f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>AJ3551</f>
        <v>0</v>
      </c>
      <c r="AJ3551" s="2">
        <f>AI3551*T3551</f>
        <v>0</v>
      </c>
      <c r="AK3551" s="2">
        <f>T3551-W3551</f>
        <v>0</v>
      </c>
      <c r="AL3551" s="5">
        <f>(T3551-W3551)/T3551</f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>(T3552-W3552)/T3552</f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>AJ3552</f>
        <v>0</v>
      </c>
      <c r="AJ3552" s="2">
        <f>AI3552*T3552</f>
        <v>0</v>
      </c>
      <c r="AK3552" s="2">
        <f>T3552-W3552</f>
        <v>0</v>
      </c>
      <c r="AL3552" s="5">
        <f>(T3552-W3552)/T3552</f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>(T3553-W3553)/T3553</f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>AJ3553</f>
        <v>0</v>
      </c>
      <c r="AJ3553" s="2">
        <f>AI3553*T3553</f>
        <v>0</v>
      </c>
      <c r="AK3553" s="2">
        <f>T3553-W3553</f>
        <v>0</v>
      </c>
      <c r="AL3553" s="5">
        <f>(T3553-W3553)/T3553</f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>(T3554-W3554)/T3554</f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>AJ3554</f>
        <v>0</v>
      </c>
      <c r="AJ3554" s="2">
        <f>AI3554*T3554</f>
        <v>0</v>
      </c>
      <c r="AK3554" s="2">
        <f>T3554-W3554</f>
        <v>0</v>
      </c>
      <c r="AL3554" s="5">
        <f>(T3554-W3554)/T3554</f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>(T3555-W3555)/T3555</f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>AJ3555</f>
        <v>0</v>
      </c>
      <c r="AJ3555" s="2">
        <f>AI3555*T3555</f>
        <v>0</v>
      </c>
      <c r="AK3555" s="2">
        <f>T3555-W3555</f>
        <v>0</v>
      </c>
      <c r="AL3555" s="5">
        <f>(T3555-W3555)/T3555</f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>(T3556-W3556)/T3556</f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>AJ3556</f>
        <v>0</v>
      </c>
      <c r="AJ3556" s="2">
        <f>AI3556*T3556</f>
        <v>0</v>
      </c>
      <c r="AK3556" s="2">
        <f>T3556-W3556</f>
        <v>0</v>
      </c>
      <c r="AL3556" s="5">
        <f>(T3556-W3556)/T3556</f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>(T3557-W3557)/T3557</f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>AJ3557</f>
        <v>0</v>
      </c>
      <c r="AJ3557" s="2">
        <f>AI3557*T3557</f>
        <v>0</v>
      </c>
      <c r="AK3557" s="2">
        <f>T3557-W3557</f>
        <v>0</v>
      </c>
      <c r="AL3557" s="5">
        <f>(T3557-W3557)/T3557</f>
        <v>0</v>
      </c>
    </row>
    <row r="3558" spans="1:38" x14ac:dyDescent="0.2">
      <c r="A3558" s="2">
        <v>2026</v>
      </c>
      <c r="B3558" s="2">
        <v>3</v>
      </c>
      <c r="C3558" s="2" t="s">
        <v>3425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>(T3558-W3558)/T3558</f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>AJ3558</f>
        <v>0</v>
      </c>
      <c r="AJ3558" s="2">
        <f>AI3558*T3558</f>
        <v>0</v>
      </c>
      <c r="AK3558" s="2">
        <f>T3558-W3558</f>
        <v>0</v>
      </c>
      <c r="AL3558" s="5">
        <f>(T3558-W3558)/T3558</f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>(T3559-W3559)/T3559</f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>AJ3559</f>
        <v>0</v>
      </c>
      <c r="AJ3559" s="2">
        <f>AI3559*T3559</f>
        <v>0</v>
      </c>
      <c r="AK3559" s="2">
        <f>T3559-W3559</f>
        <v>0</v>
      </c>
      <c r="AL3559" s="5">
        <f>(T3559-W3559)/T3559</f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>(T3560-W3560)/T3560</f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>AJ3560</f>
        <v>0</v>
      </c>
      <c r="AJ3560" s="2">
        <f>AI3560*T3560</f>
        <v>0</v>
      </c>
      <c r="AK3560" s="2">
        <f>T3560-W3560</f>
        <v>0</v>
      </c>
      <c r="AL3560" s="5">
        <f>(T3560-W3560)/T3560</f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>(T3561-W3561)/T3561</f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>AJ3561</f>
        <v>0</v>
      </c>
      <c r="AJ3561" s="2">
        <f>AI3561*T3561</f>
        <v>0</v>
      </c>
      <c r="AK3561" s="2">
        <f>T3561-W3561</f>
        <v>0</v>
      </c>
      <c r="AL3561" s="5">
        <f>(T3561-W3561)/T3561</f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>(T3562-W3562)/T3562</f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>AJ3562</f>
        <v>0</v>
      </c>
      <c r="AJ3562" s="2">
        <f>AI3562*T3562</f>
        <v>0</v>
      </c>
      <c r="AK3562" s="2">
        <f>T3562-W3562</f>
        <v>0</v>
      </c>
      <c r="AL3562" s="5">
        <f>(T3562-W3562)/T3562</f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>(T3563-W3563)/T3563</f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>AJ3563</f>
        <v>0</v>
      </c>
      <c r="AJ3563" s="2">
        <f>AI3563*T3563</f>
        <v>0</v>
      </c>
      <c r="AK3563" s="2">
        <f>T3563-W3563</f>
        <v>0</v>
      </c>
      <c r="AL3563" s="5">
        <f>(T3563-W3563)/T3563</f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>(T3564-W3564)/T3564</f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>AJ3564</f>
        <v>0</v>
      </c>
      <c r="AJ3564" s="2">
        <f>AI3564*T3564</f>
        <v>0</v>
      </c>
      <c r="AK3564" s="2">
        <f>T3564-W3564</f>
        <v>0</v>
      </c>
      <c r="AL3564" s="5">
        <f>(T3564-W3564)/T3564</f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>(T3565-W3565)/T3565</f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>AJ3565</f>
        <v>0</v>
      </c>
      <c r="AJ3565" s="2">
        <f>AI3565*T3565</f>
        <v>0</v>
      </c>
      <c r="AK3565" s="2">
        <f>T3565-W3565</f>
        <v>0</v>
      </c>
      <c r="AL3565" s="5">
        <f>(T3565-W3565)/T3565</f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>(T3566-W3566)/T3566</f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>AJ3566</f>
        <v>0</v>
      </c>
      <c r="AG3566" s="2">
        <v>1.48</v>
      </c>
      <c r="AH3566" s="2">
        <v>1.48</v>
      </c>
      <c r="AJ3566" s="2">
        <f>AI3566*T3566</f>
        <v>0</v>
      </c>
      <c r="AK3566" s="2">
        <f>T3566-W3566</f>
        <v>0</v>
      </c>
      <c r="AL3566" s="5">
        <f>(T3566-W3566)/T3566</f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>(T3567-W3567)/T3567</f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>AJ3567</f>
        <v>0</v>
      </c>
      <c r="AJ3567" s="2">
        <f>AI3567*T3567</f>
        <v>0</v>
      </c>
      <c r="AK3567" s="2">
        <f>T3567-W3567</f>
        <v>0</v>
      </c>
      <c r="AL3567" s="5">
        <f>(T3567-W3567)/T3567</f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>(T3568-W3568)/T3568</f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>AJ3568</f>
        <v>0</v>
      </c>
      <c r="AJ3568" s="2">
        <f>AI3568*T3568</f>
        <v>0</v>
      </c>
      <c r="AK3568" s="2">
        <f>T3568-W3568</f>
        <v>0</v>
      </c>
      <c r="AL3568" s="5">
        <f>(T3568-W3568)/T3568</f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>(T3569-W3569)/T3569</f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>AJ3569</f>
        <v>0</v>
      </c>
      <c r="AJ3569" s="2">
        <f>AI3569*T3569</f>
        <v>0</v>
      </c>
      <c r="AK3569" s="2">
        <f>T3569-W3569</f>
        <v>0</v>
      </c>
      <c r="AL3569" s="5">
        <f>(T3569-W3569)/T3569</f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>(T3570-W3570)/T3570</f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>AJ3570</f>
        <v>0</v>
      </c>
      <c r="AG3570" s="2">
        <v>1.48</v>
      </c>
      <c r="AH3570" s="2">
        <v>1.48</v>
      </c>
      <c r="AJ3570" s="2">
        <f>AI3570*T3570</f>
        <v>0</v>
      </c>
      <c r="AK3570" s="2">
        <f>T3570-W3570</f>
        <v>0</v>
      </c>
      <c r="AL3570" s="5">
        <f>(T3570-W3570)/T3570</f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>(T3571-W3571)/T3571</f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>AJ3571</f>
        <v>0</v>
      </c>
      <c r="AJ3571" s="2">
        <f>AI3571*T3571</f>
        <v>0</v>
      </c>
      <c r="AK3571" s="2">
        <f>T3571-W3571</f>
        <v>0</v>
      </c>
      <c r="AL3571" s="5">
        <f>(T3571-W3571)/T3571</f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>(T3572-W3572)/T3572</f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>AJ3572</f>
        <v>0</v>
      </c>
      <c r="AJ3572" s="2">
        <f>AI3572*T3572</f>
        <v>0</v>
      </c>
      <c r="AK3572" s="2">
        <f>T3572-W3572</f>
        <v>0</v>
      </c>
      <c r="AL3572" s="5">
        <f>(T3572-W3572)/T3572</f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>(T3573-W3573)/T3573</f>
        <v>1</v>
      </c>
      <c r="Z3573" s="2" t="s">
        <v>120</v>
      </c>
      <c r="AA3573" s="2" t="s">
        <v>3384</v>
      </c>
      <c r="AF3573" s="2">
        <f>AJ3573</f>
        <v>0</v>
      </c>
      <c r="AJ3573" s="2">
        <f>AI3573*T3573</f>
        <v>0</v>
      </c>
      <c r="AK3573" s="2">
        <f>T3573-W3573</f>
        <v>576</v>
      </c>
      <c r="AL3573" s="5">
        <f>(T3573-W3573)/T3573</f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>(T3574-W3574)/T3574</f>
        <v>1</v>
      </c>
      <c r="Z3574" s="2" t="s">
        <v>120</v>
      </c>
      <c r="AA3574" s="2" t="s">
        <v>3384</v>
      </c>
      <c r="AF3574" s="2">
        <f>AJ3574</f>
        <v>0</v>
      </c>
      <c r="AJ3574" s="2">
        <f>AI3574*T3574</f>
        <v>0</v>
      </c>
      <c r="AK3574" s="2">
        <f>T3574-W3574</f>
        <v>200</v>
      </c>
      <c r="AL3574" s="5">
        <f>(T3574-W3574)/T3574</f>
        <v>1</v>
      </c>
    </row>
    <row r="3575" spans="1:38" x14ac:dyDescent="0.2">
      <c r="A3575" s="2">
        <v>2026</v>
      </c>
      <c r="B3575" s="2">
        <v>3</v>
      </c>
      <c r="C3575" s="2" t="s">
        <v>3425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>(T3575-W3575)/T3575</f>
        <v>1</v>
      </c>
      <c r="Z3575" s="2" t="s">
        <v>105</v>
      </c>
      <c r="AA3575" s="2" t="s">
        <v>3426</v>
      </c>
      <c r="AB3575" s="2" t="s">
        <v>3427</v>
      </c>
      <c r="AC3575" s="2" t="s">
        <v>115</v>
      </c>
      <c r="AF3575" s="2">
        <f>AJ3575</f>
        <v>0</v>
      </c>
      <c r="AJ3575" s="2">
        <f>AI3575*T3575</f>
        <v>0</v>
      </c>
      <c r="AK3575" s="2">
        <f>T3575-W3575</f>
        <v>180</v>
      </c>
      <c r="AL3575" s="5">
        <f>(T3575-W3575)/T3575</f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>(T3576-W3576)/T3576</f>
        <v>1</v>
      </c>
      <c r="Z3576" s="2" t="s">
        <v>120</v>
      </c>
      <c r="AA3576" s="2" t="s">
        <v>3384</v>
      </c>
      <c r="AF3576" s="2">
        <f>AJ3576</f>
        <v>0</v>
      </c>
      <c r="AJ3576" s="2">
        <f>AI3576*T3576</f>
        <v>0</v>
      </c>
      <c r="AK3576" s="2">
        <f>T3576-W3576</f>
        <v>180</v>
      </c>
      <c r="AL3576" s="5">
        <f>(T3576-W3576)/T3576</f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>(T3577-W3577)/T3577</f>
        <v>1</v>
      </c>
      <c r="Z3577" s="2" t="s">
        <v>120</v>
      </c>
      <c r="AA3577" s="2" t="s">
        <v>3384</v>
      </c>
      <c r="AF3577" s="2">
        <f>AJ3577</f>
        <v>0</v>
      </c>
      <c r="AJ3577" s="2">
        <f>AI3577*T3577</f>
        <v>0</v>
      </c>
      <c r="AK3577" s="2">
        <f>T3577-W3577</f>
        <v>67.2</v>
      </c>
      <c r="AL3577" s="5">
        <f>(T3577-W3577)/T3577</f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>(T3578-W3578)/T3578</f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>AJ3578</f>
        <v>0</v>
      </c>
      <c r="AG3578" s="2">
        <v>6.55</v>
      </c>
      <c r="AJ3578" s="2">
        <f>AI3578*T3578</f>
        <v>0</v>
      </c>
      <c r="AK3578" s="2">
        <f>T3578-W3578</f>
        <v>12.439999999999998</v>
      </c>
      <c r="AL3578" s="5">
        <f>(T3578-W3578)/T3578</f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>(T3579-W3579)/T3579</f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>AJ3579</f>
        <v>0</v>
      </c>
      <c r="AG3579" s="2">
        <v>1244.2444</v>
      </c>
      <c r="AJ3579" s="2">
        <f>AI3579*T3579</f>
        <v>0</v>
      </c>
      <c r="AK3579" s="2">
        <f>T3579-W3579</f>
        <v>445.75559999999996</v>
      </c>
      <c r="AL3579" s="5">
        <f>(T3579-W3579)/T3579</f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>AJ3580</f>
        <v>0</v>
      </c>
      <c r="AG3580" s="2">
        <v>136.38999999999999</v>
      </c>
      <c r="AH3580" s="2">
        <v>282.11399999999998</v>
      </c>
      <c r="AJ3580" s="2">
        <f>AI3580*T3580</f>
        <v>0</v>
      </c>
      <c r="AK3580" s="2">
        <f>T3580-W3580</f>
        <v>117.51000000000002</v>
      </c>
      <c r="AL3580" s="5">
        <f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>(T3581-W3581)/T3581</f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>AJ3581</f>
        <v>0</v>
      </c>
      <c r="AG3581" s="2">
        <v>7.9024999999999999</v>
      </c>
      <c r="AJ3581" s="2">
        <f>AI3581*T3581</f>
        <v>0</v>
      </c>
      <c r="AK3581" s="2">
        <f>T3581-W3581</f>
        <v>5.43</v>
      </c>
      <c r="AL3581" s="5">
        <f>(T3581-W3581)/T3581</f>
        <v>0.14659827213822893</v>
      </c>
    </row>
    <row r="3582" spans="1:38" x14ac:dyDescent="0.2">
      <c r="A3582" s="2">
        <v>2026</v>
      </c>
      <c r="B3582" s="2">
        <v>4</v>
      </c>
      <c r="C3582" s="2" t="s">
        <v>3455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>(T3582-W3582)/T3582</f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>AJ3582</f>
        <v>0</v>
      </c>
      <c r="AG3582" s="2">
        <v>11.246700000000001</v>
      </c>
      <c r="AJ3582" s="2">
        <f>AI3582*T3582</f>
        <v>0</v>
      </c>
      <c r="AK3582" s="2">
        <f>T3582-W3582</f>
        <v>9.1433</v>
      </c>
      <c r="AL3582" s="5">
        <f>(T3582-W3582)/T3582</f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>(T3583-W3583)/T3583</f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>AJ3583</f>
        <v>0</v>
      </c>
      <c r="AG3583" s="2">
        <v>35.931699999999999</v>
      </c>
      <c r="AJ3583" s="2">
        <f>AI3583*T3583</f>
        <v>0</v>
      </c>
      <c r="AK3583" s="2">
        <f>T3583-W3583</f>
        <v>85.316600000000008</v>
      </c>
      <c r="AL3583" s="5">
        <f>(T3583-W3583)/T3583</f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>(T3584-W3584)/T3584</f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>AJ3584</f>
        <v>0</v>
      </c>
      <c r="AG3584" s="2">
        <v>5.33</v>
      </c>
      <c r="AJ3584" s="2">
        <f>AI3584*T3584</f>
        <v>0</v>
      </c>
      <c r="AK3584" s="2">
        <f>T3584-W3584</f>
        <v>17.91</v>
      </c>
      <c r="AL3584" s="5">
        <f>(T3584-W3584)/T3584</f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>(T3585-W3585)/T3585</f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>AJ3585</f>
        <v>0</v>
      </c>
      <c r="AG3585" s="2">
        <f>20.48+0.33</f>
        <v>20.81</v>
      </c>
      <c r="AJ3585" s="2">
        <f>AI3585*T3585</f>
        <v>0</v>
      </c>
      <c r="AK3585" s="2">
        <f>T3585-W3585</f>
        <v>22.2</v>
      </c>
      <c r="AL3585" s="5">
        <f>(T3585-W3585)/T3585</f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>(T3586-W3586)/T3586</f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>AJ3586</f>
        <v>0</v>
      </c>
      <c r="AG3586" s="2">
        <f>63.89+1.02</f>
        <v>64.91</v>
      </c>
      <c r="AJ3586" s="2">
        <f>AI3586*T3586</f>
        <v>0</v>
      </c>
      <c r="AK3586" s="2">
        <f>T3586-W3586</f>
        <v>69.259999999999991</v>
      </c>
      <c r="AL3586" s="5">
        <f>(T3586-W3586)/T3586</f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>(T3587-W3587)/T3587</f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>AJ3587</f>
        <v>0</v>
      </c>
      <c r="AG3587" s="2">
        <f>W3587</f>
        <v>100</v>
      </c>
      <c r="AJ3587" s="2">
        <f>AI3587*T3587</f>
        <v>0</v>
      </c>
      <c r="AK3587" s="2">
        <f>T3587-W3587</f>
        <v>100</v>
      </c>
      <c r="AL3587" s="5">
        <f>(T3587-W3587)/T3587</f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>(T3588-W3588)/T3588</f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>AJ3588</f>
        <v>0</v>
      </c>
      <c r="AG3588" s="2">
        <v>183.26</v>
      </c>
      <c r="AJ3588" s="2">
        <f>AI3588*T3588</f>
        <v>0</v>
      </c>
      <c r="AK3588" s="2">
        <f>T3588-W3588</f>
        <v>151.26999999999998</v>
      </c>
      <c r="AL3588" s="5">
        <f>(T3588-W3588)/T3588</f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>(T3589-W3589)/T3589</f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>AJ3589</f>
        <v>0</v>
      </c>
      <c r="AG3589" s="2">
        <v>22.2</v>
      </c>
      <c r="AJ3589" s="2">
        <f>AI3589*T3589</f>
        <v>0</v>
      </c>
      <c r="AK3589" s="2">
        <f>T3589-W3589</f>
        <v>51.816000000000003</v>
      </c>
      <c r="AL3589" s="5">
        <f>(T3589-W3589)/T3589</f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>(T3590-W3590)/T3590</f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>AJ3590</f>
        <v>0</v>
      </c>
      <c r="AG3590" s="2">
        <v>22.2</v>
      </c>
      <c r="AJ3590" s="2">
        <f>AI3590*T3590</f>
        <v>0</v>
      </c>
      <c r="AK3590" s="2">
        <f>T3590-W3590</f>
        <v>25.908000000000001</v>
      </c>
      <c r="AL3590" s="5">
        <f>(T3590-W3590)/T3590</f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>(T3591-W3591)/T3591</f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>AJ3591</f>
        <v>0</v>
      </c>
      <c r="AG3591" s="2">
        <f>249.84+4</f>
        <v>253.84</v>
      </c>
      <c r="AJ3591" s="2">
        <f>AI3591*T3591</f>
        <v>0</v>
      </c>
      <c r="AK3591" s="2">
        <f>T3591-W3591</f>
        <v>270.81999999999994</v>
      </c>
      <c r="AL3591" s="5">
        <f>(T3591-W3591)/T3591</f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>(T3592-W3592)/T3592</f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>AJ3592</f>
        <v>0</v>
      </c>
      <c r="AG3592" s="2">
        <v>30.22</v>
      </c>
      <c r="AJ3592" s="2">
        <f>AI3592*T3592</f>
        <v>0</v>
      </c>
      <c r="AK3592" s="2">
        <f>T3592-W3592</f>
        <v>33.24</v>
      </c>
      <c r="AL3592" s="5">
        <f>(T3592-W3592)/T3592</f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>(T3593-W3593)/T3593</f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>AJ3593</f>
        <v>0</v>
      </c>
      <c r="AG3593" s="2">
        <v>342.22</v>
      </c>
      <c r="AJ3593" s="2">
        <f>AI3593*T3593</f>
        <v>0</v>
      </c>
      <c r="AK3593" s="2">
        <f>T3593-W3593</f>
        <v>354.09659999999997</v>
      </c>
      <c r="AL3593" s="5">
        <f>(T3593-W3593)/T3593</f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>(T3594-W3594)/T3594</f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>AJ3594</f>
        <v>0</v>
      </c>
      <c r="AG3594" s="2">
        <v>342.22</v>
      </c>
      <c r="AJ3594" s="2">
        <f>AI3594*T3594</f>
        <v>0</v>
      </c>
      <c r="AK3594" s="2">
        <f>T3594-W3594</f>
        <v>354.09659999999997</v>
      </c>
      <c r="AL3594" s="5">
        <f>(T3594-W3594)/T3594</f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>(T3595-W3595)/T3595</f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>AJ3595</f>
        <v>0</v>
      </c>
      <c r="AG3595" s="2">
        <v>342.22</v>
      </c>
      <c r="AJ3595" s="2">
        <f>AI3595*T3595</f>
        <v>0</v>
      </c>
      <c r="AK3595" s="2">
        <f>T3595-W3595</f>
        <v>354.09659999999997</v>
      </c>
      <c r="AL3595" s="5">
        <f>(T3595-W3595)/T3595</f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>(T3596-W3596)/T3596</f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>AJ3596</f>
        <v>0</v>
      </c>
      <c r="AJ3596" s="2">
        <f>AI3596*T3596</f>
        <v>0</v>
      </c>
      <c r="AK3596" s="2">
        <f>T3596-W3596</f>
        <v>352.72999999999996</v>
      </c>
      <c r="AL3596" s="5">
        <f>(T3596-W3596)/T3596</f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>(T3597-W3597)/T3597</f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>AJ3597</f>
        <v>0</v>
      </c>
      <c r="AG3597" s="2">
        <v>346.57</v>
      </c>
      <c r="AJ3597" s="2">
        <f>AI3597*T3597</f>
        <v>0</v>
      </c>
      <c r="AK3597" s="2">
        <f>T3597-W3597</f>
        <v>352.72999999999996</v>
      </c>
      <c r="AL3597" s="5">
        <f>(T3597-W3597)/T3597</f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>(T3598-W3598)/T3598</f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>AJ3598</f>
        <v>0</v>
      </c>
      <c r="AG3598" s="2">
        <v>346.57</v>
      </c>
      <c r="AJ3598" s="2">
        <f>AI3598*T3598</f>
        <v>0</v>
      </c>
      <c r="AK3598" s="2">
        <f>T3598-W3598</f>
        <v>352.72999999999996</v>
      </c>
      <c r="AL3598" s="5">
        <f>(T3598-W3598)/T3598</f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>(T3599-W3599)/T3599</f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>AJ3599</f>
        <v>0</v>
      </c>
      <c r="AJ3599" s="2">
        <f>AI3599*T3599</f>
        <v>0</v>
      </c>
      <c r="AK3599" s="2">
        <f>T3599-W3599</f>
        <v>352.72999999999996</v>
      </c>
      <c r="AL3599" s="5">
        <f>(T3599-W3599)/T3599</f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>(T3600-W3600)/T3600</f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>AJ3600</f>
        <v>0</v>
      </c>
      <c r="AJ3600" s="2">
        <f>AI3600*T3600</f>
        <v>0</v>
      </c>
      <c r="AK3600" s="2">
        <f>T3600-W3600</f>
        <v>229.38000000000005</v>
      </c>
      <c r="AL3600" s="5">
        <f>(T3600-W3600)/T3600</f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>(T3601-W3601)/T3601</f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>AJ3601</f>
        <v>0</v>
      </c>
      <c r="AG3601" s="2">
        <f>167.92</f>
        <v>167.92</v>
      </c>
      <c r="AJ3601" s="2">
        <f>AI3601*T3601</f>
        <v>0</v>
      </c>
      <c r="AK3601" s="2">
        <f>T3601-W3601</f>
        <v>188.89000000000001</v>
      </c>
      <c r="AL3601" s="5">
        <f>(T3601-W3601)/T3601</f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>(T3602-W3602)/T3602</f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>AJ3602</f>
        <v>0</v>
      </c>
      <c r="AG3602" s="2">
        <f>W3602</f>
        <v>36.800000000000004</v>
      </c>
      <c r="AJ3602" s="2">
        <f>AI3602*T3602</f>
        <v>0</v>
      </c>
      <c r="AK3602" s="2">
        <f>T3602-W3602</f>
        <v>55.199999999999996</v>
      </c>
      <c r="AL3602" s="5">
        <f>(T3602-W3602)/T3602</f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>(T3603-W3603)/T3603</f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>AJ3603</f>
        <v>0</v>
      </c>
      <c r="AG3603" s="2">
        <f>231.78+0.96</f>
        <v>232.74</v>
      </c>
      <c r="AJ3603" s="2">
        <f>AI3603*T3603</f>
        <v>0</v>
      </c>
      <c r="AK3603" s="2">
        <f>T3603-W3603</f>
        <v>256.08</v>
      </c>
      <c r="AL3603" s="5">
        <f>(T3603-W3603)/T3603</f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>(T3604-W3604)/T3604</f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>AJ3604</f>
        <v>0</v>
      </c>
      <c r="AG3604" s="2">
        <v>565.755</v>
      </c>
      <c r="AJ3604" s="2">
        <f>AI3604*T3604</f>
        <v>0</v>
      </c>
      <c r="AK3604" s="2">
        <f>T3604-W3604</f>
        <v>1279.1445000000001</v>
      </c>
      <c r="AL3604" s="5">
        <f>(T3604-W3604)/T3604</f>
        <v>0.69334083148138115</v>
      </c>
    </row>
    <row r="3605" spans="1:38" x14ac:dyDescent="0.2">
      <c r="A3605" s="2">
        <v>2026</v>
      </c>
      <c r="B3605" s="2">
        <v>4</v>
      </c>
      <c r="C3605" s="2" t="s">
        <v>3448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>(T3605-W3605)/T3605</f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>AJ3605</f>
        <v>0</v>
      </c>
      <c r="AG3605" s="2">
        <v>255.65</v>
      </c>
      <c r="AJ3605" s="2">
        <f>AI3605*T3605</f>
        <v>0</v>
      </c>
      <c r="AK3605" s="2">
        <f>T3605-W3605</f>
        <v>514.59</v>
      </c>
      <c r="AL3605" s="5">
        <f>(T3605-W3605)/T3605</f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>(T3606-W3606)/T3606</f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>AJ3606</f>
        <v>0</v>
      </c>
      <c r="AG3606" s="2">
        <v>102.88249999999999</v>
      </c>
      <c r="AJ3606" s="2">
        <f>AI3606*T3606</f>
        <v>0</v>
      </c>
      <c r="AK3606" s="2">
        <f>T3606-W3606</f>
        <v>112.075</v>
      </c>
      <c r="AL3606" s="5">
        <f>(T3606-W3606)/T3606</f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>(T3607-W3607)/T3607</f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>AJ3607</f>
        <v>0</v>
      </c>
      <c r="AG3607" s="2">
        <v>42.436799999999998</v>
      </c>
      <c r="AJ3607" s="2">
        <f>AI3607*T3607</f>
        <v>0</v>
      </c>
      <c r="AK3607" s="2">
        <f>T3607-W3607</f>
        <v>46.603200000000008</v>
      </c>
      <c r="AL3607" s="5">
        <f>(T3607-W3607)/T3607</f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>(T3608-W3608)/T3608</f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>AJ3608</f>
        <v>0</v>
      </c>
      <c r="AG3608" s="2">
        <v>42.436799999999998</v>
      </c>
      <c r="AJ3608" s="2">
        <f>AI3608*T3608</f>
        <v>0</v>
      </c>
      <c r="AK3608" s="2">
        <f>T3608-W3608</f>
        <v>11.613199999999999</v>
      </c>
      <c r="AL3608" s="5">
        <f>(T3608-W3608)/T3608</f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>(T3609-W3609)/T3609</f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>AJ3609</f>
        <v>0</v>
      </c>
      <c r="AG3609" s="2">
        <f>15.49+0.25</f>
        <v>15.74</v>
      </c>
      <c r="AJ3609" s="2">
        <f>AI3609*T3609</f>
        <v>0</v>
      </c>
      <c r="AK3609" s="2">
        <f>T3609-W3609</f>
        <v>16.79</v>
      </c>
      <c r="AL3609" s="5">
        <f>(T3609-W3609)/T3609</f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>(T3610-W3610)/T3610</f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>AJ3610</f>
        <v>0</v>
      </c>
      <c r="AG3610" s="2">
        <v>21.32</v>
      </c>
      <c r="AJ3610" s="2">
        <f>AI3610*T3610</f>
        <v>0</v>
      </c>
      <c r="AK3610" s="2">
        <f>T3610-W3610</f>
        <v>25.270000000000003</v>
      </c>
      <c r="AL3610" s="5">
        <f>(T3610-W3610)/T3610</f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>(T3611-W3611)/T3611</f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>AJ3611</f>
        <v>0</v>
      </c>
      <c r="AG3611" s="2">
        <v>19.5167</v>
      </c>
      <c r="AJ3611" s="2">
        <f>AI3611*T3611</f>
        <v>0</v>
      </c>
      <c r="AK3611" s="2">
        <f>T3611-W3611</f>
        <v>21.823300000000003</v>
      </c>
      <c r="AL3611" s="5">
        <f>(T3611-W3611)/T3611</f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>AJ3612</f>
        <v>0</v>
      </c>
      <c r="AJ3612" s="2">
        <f>AI3612*T3612</f>
        <v>0</v>
      </c>
      <c r="AK3612" s="2">
        <f>T3612-W3612</f>
        <v>-83.46</v>
      </c>
      <c r="AL3612" s="5">
        <f>(T3612-W3612)/T3612</f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>(T3613-W3613)/T3613</f>
        <v>1</v>
      </c>
      <c r="Z3613" s="2" t="s">
        <v>118</v>
      </c>
      <c r="AF3613" s="2">
        <f>AJ3613</f>
        <v>0</v>
      </c>
      <c r="AJ3613" s="2">
        <f>AI3613*T3613</f>
        <v>0</v>
      </c>
      <c r="AK3613" s="2">
        <f>T3613-W3613</f>
        <v>140.24</v>
      </c>
      <c r="AL3613" s="5">
        <f>(T3613-W3613)/T3613</f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>(T3614-W3614)/T3614</f>
        <v>1</v>
      </c>
      <c r="Z3614" s="2" t="s">
        <v>118</v>
      </c>
      <c r="AF3614" s="2">
        <f>AJ3614</f>
        <v>0</v>
      </c>
      <c r="AJ3614" s="2">
        <f>AI3614*T3614</f>
        <v>0</v>
      </c>
      <c r="AK3614" s="2">
        <f>T3614-W3614</f>
        <v>1031.94</v>
      </c>
      <c r="AL3614" s="5">
        <f>(T3614-W3614)/T3614</f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>(T3615-W3615)/T3615</f>
        <v>1</v>
      </c>
      <c r="Z3615" s="2" t="s">
        <v>118</v>
      </c>
      <c r="AF3615" s="2">
        <f>AJ3615</f>
        <v>0</v>
      </c>
      <c r="AJ3615" s="2">
        <f>AI3615*T3615</f>
        <v>0</v>
      </c>
      <c r="AK3615" s="2">
        <f>T3615-W3615</f>
        <v>1594.72</v>
      </c>
      <c r="AL3615" s="5">
        <f>(T3615-W3615)/T3615</f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>(T3616-W3616)/T3616</f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>AJ3616</f>
        <v>0</v>
      </c>
      <c r="AJ3616" s="2">
        <f>AI3616*T3616</f>
        <v>0</v>
      </c>
      <c r="AK3616" s="2">
        <f>T3616-W3616</f>
        <v>5320.6</v>
      </c>
      <c r="AL3616" s="5">
        <f>(T3616-W3616)/T3616</f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>(T3617-W3617)/T3617</f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>AJ3617</f>
        <v>0</v>
      </c>
      <c r="AJ3617" s="2">
        <f>AI3617*T3617</f>
        <v>0</v>
      </c>
      <c r="AK3617" s="2">
        <f>T3617-W3617</f>
        <v>4004.8500000000004</v>
      </c>
      <c r="AL3617" s="5">
        <f>(T3617-W3617)/T3617</f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>(T3618-W3618)/T3618</f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>AJ3618</f>
        <v>0</v>
      </c>
      <c r="AG3618" s="2">
        <f>6193.4+275.33</f>
        <v>6468.73</v>
      </c>
      <c r="AJ3618" s="2">
        <f>AI3618*T3618</f>
        <v>0</v>
      </c>
      <c r="AK3618" s="2">
        <f>T3618-W3618</f>
        <v>2461.2700000000004</v>
      </c>
      <c r="AL3618" s="5">
        <f>(T3618-W3618)/T3618</f>
        <v>0.27561814109742444</v>
      </c>
    </row>
    <row r="3619" spans="1:38" x14ac:dyDescent="0.2">
      <c r="A3619" s="2">
        <v>2026</v>
      </c>
      <c r="B3619" s="2">
        <v>4</v>
      </c>
      <c r="C3619" s="2" t="s">
        <v>3455</v>
      </c>
      <c r="D3619" s="2" t="s">
        <v>3462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>(T3619-W3619)/T3619</f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>AJ3619</f>
        <v>0</v>
      </c>
      <c r="AG3619" s="2">
        <v>6468.73</v>
      </c>
      <c r="AJ3619" s="2">
        <f>AI3619*T3619</f>
        <v>0</v>
      </c>
      <c r="AK3619" s="2">
        <f>T3619-W3619</f>
        <v>2461.2700000000004</v>
      </c>
      <c r="AL3619" s="5">
        <f>(T3619-W3619)/T3619</f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>(T3620-W3620)/T3620</f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>AJ3620</f>
        <v>0</v>
      </c>
      <c r="AG3620" s="2">
        <f>4893.23+171</f>
        <v>5064.2299999999996</v>
      </c>
      <c r="AJ3620" s="2">
        <f>AI3620*T3620</f>
        <v>0</v>
      </c>
      <c r="AK3620" s="2">
        <f>T3620-W3620</f>
        <v>2275.7700000000004</v>
      </c>
      <c r="AL3620" s="5">
        <f>(T3620-W3620)/T3620</f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>(T3621-W3621)/T3621</f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>AJ3621</f>
        <v>0</v>
      </c>
      <c r="AG3621" s="2">
        <f>4893.23+171</f>
        <v>5064.2299999999996</v>
      </c>
      <c r="AJ3621" s="2">
        <f>AI3621*T3621</f>
        <v>0</v>
      </c>
      <c r="AK3621" s="2">
        <f>T3621-W3621</f>
        <v>1925.7700000000004</v>
      </c>
      <c r="AL3621" s="5">
        <f>(T3621-W3621)/T3621</f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>(T3622-W3622)/T3622</f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>AJ3622</f>
        <v>0</v>
      </c>
      <c r="AG3622" s="2">
        <v>10.15</v>
      </c>
      <c r="AJ3622" s="2">
        <f>AI3622*T3622</f>
        <v>0</v>
      </c>
      <c r="AK3622" s="2">
        <f>T3622-W3622</f>
        <v>58.71</v>
      </c>
      <c r="AL3622" s="5">
        <f>(T3622-W3622)/T3622</f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>(T3623-W3623)/T3623</f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>AJ3623</f>
        <v>0</v>
      </c>
      <c r="AJ3623" s="2">
        <f>AI3623*T3623</f>
        <v>0</v>
      </c>
      <c r="AK3623" s="2">
        <f>T3623-W3623</f>
        <v>9215</v>
      </c>
      <c r="AL3623" s="5">
        <f>(T3623-W3623)/T3623</f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>(T3624-W3624)/T3624</f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>AJ3624</f>
        <v>0</v>
      </c>
      <c r="AG3624" s="2">
        <v>14.34</v>
      </c>
      <c r="AJ3624" s="2">
        <f>AI3624*T3624</f>
        <v>0</v>
      </c>
      <c r="AK3624" s="2">
        <f>T3624-W3624</f>
        <v>29.119999999999997</v>
      </c>
      <c r="AL3624" s="5">
        <f>(T3624-W3624)/T3624</f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>(T3625-W3625)/T3625</f>
        <v>0.10089285714285706</v>
      </c>
      <c r="Z3625" s="2" t="s">
        <v>3231</v>
      </c>
      <c r="AA3625" s="2" t="s">
        <v>156</v>
      </c>
      <c r="AB3625" s="2" t="s">
        <v>3407</v>
      </c>
      <c r="AC3625" s="2" t="s">
        <v>1329</v>
      </c>
      <c r="AF3625" s="2">
        <f>AJ3625</f>
        <v>0</v>
      </c>
      <c r="AJ3625" s="2">
        <f>AI3625*T3625</f>
        <v>0</v>
      </c>
      <c r="AK3625" s="2">
        <f>T3625-W3625</f>
        <v>1.129999999999999</v>
      </c>
      <c r="AL3625" s="5">
        <f>(T3625-W3625)/T3625</f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>(T3626-W3626)/T3626</f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>AJ3626</f>
        <v>0</v>
      </c>
      <c r="AJ3626" s="2">
        <f>AI3626*T3626</f>
        <v>0</v>
      </c>
      <c r="AK3626" s="2">
        <f>T3626-W3626</f>
        <v>8.9499999999999886</v>
      </c>
      <c r="AL3626" s="5">
        <f>(T3626-W3626)/T3626</f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>(T3627-W3627)/T3627</f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>AJ3627</f>
        <v>0</v>
      </c>
      <c r="AG3627" s="2">
        <v>1458</v>
      </c>
      <c r="AJ3627" s="2">
        <f>AI3627*T3627</f>
        <v>0</v>
      </c>
      <c r="AK3627" s="2">
        <f>T3627-W3627</f>
        <v>532</v>
      </c>
      <c r="AL3627" s="5">
        <f>(T3627-W3627)/T3627</f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>(T3628-W3628)/T3628</f>
        <v>1</v>
      </c>
      <c r="Z3628" s="2" t="s">
        <v>105</v>
      </c>
      <c r="AF3628" s="2">
        <f>AJ3628</f>
        <v>0</v>
      </c>
      <c r="AJ3628" s="2">
        <f>AI3628*T3628</f>
        <v>0</v>
      </c>
      <c r="AK3628" s="2">
        <f>T3628-W3628</f>
        <v>1990</v>
      </c>
      <c r="AL3628" s="5">
        <f>(T3628-W3628)/T3628</f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>(T3629-W3629)/T3629</f>
        <v>1</v>
      </c>
      <c r="Z3629" s="2" t="s">
        <v>105</v>
      </c>
      <c r="AF3629" s="2">
        <f>AJ3629</f>
        <v>0</v>
      </c>
      <c r="AJ3629" s="2">
        <f>AI3629*T3629</f>
        <v>0</v>
      </c>
      <c r="AK3629" s="2">
        <f>T3629-W3629</f>
        <v>1791</v>
      </c>
      <c r="AL3629" s="5">
        <f>(T3629-W3629)/T3629</f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>(T3630-W3630)/T3630</f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>AJ3630</f>
        <v>0</v>
      </c>
      <c r="AG3630" s="2">
        <v>1458</v>
      </c>
      <c r="AJ3630" s="2">
        <f>AI3630*T3630</f>
        <v>0</v>
      </c>
      <c r="AK3630" s="2">
        <f>T3630-W3630</f>
        <v>532</v>
      </c>
      <c r="AL3630" s="5">
        <f>(T3630-W3630)/T3630</f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>(T3631-W3631)/T3631</f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>AJ3631</f>
        <v>0</v>
      </c>
      <c r="AG3631" s="2">
        <v>1578</v>
      </c>
      <c r="AJ3631" s="2">
        <f>AI3631*T3631</f>
        <v>0</v>
      </c>
      <c r="AK3631" s="2">
        <f>T3631-W3631</f>
        <v>412</v>
      </c>
      <c r="AL3631" s="5">
        <f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>(T3632-W3632)/T3632</f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>AJ3632</f>
        <v>0</v>
      </c>
      <c r="AJ3632" s="2">
        <f>AI3632*T3632</f>
        <v>0</v>
      </c>
      <c r="AK3632" s="2">
        <f>T3632-W3632</f>
        <v>357</v>
      </c>
      <c r="AL3632" s="5">
        <f>(T3632-W3632)/T3632</f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>(T3633-W3633)/T3633</f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>AJ3633</f>
        <v>0</v>
      </c>
      <c r="AJ3633" s="2">
        <f>AI3633*T3633</f>
        <v>0</v>
      </c>
      <c r="AK3633" s="2">
        <f>T3633-W3633</f>
        <v>250</v>
      </c>
      <c r="AL3633" s="5">
        <f>(T3633-W3633)/T3633</f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>(T3634-W3634)/T3634</f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>AJ3634</f>
        <v>0</v>
      </c>
      <c r="AG3634" s="2">
        <v>299.25</v>
      </c>
      <c r="AJ3634" s="2">
        <f>AI3634*T3634</f>
        <v>0</v>
      </c>
      <c r="AK3634" s="2">
        <f>T3634-W3634</f>
        <v>87.779999999999973</v>
      </c>
      <c r="AL3634" s="5">
        <f>(T3634-W3634)/T3634</f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>(T3635-W3635)/T3635</f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>AJ3635</f>
        <v>0</v>
      </c>
      <c r="AG3635" s="2">
        <v>77.400000000000006</v>
      </c>
      <c r="AJ3635" s="2">
        <f>AI3635*T3635</f>
        <v>0</v>
      </c>
      <c r="AK3635" s="2">
        <f>T3635-W3635</f>
        <v>47.72999999999999</v>
      </c>
      <c r="AL3635" s="5">
        <f>(T3635-W3635)/T3635</f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>AJ3636</f>
        <v>0</v>
      </c>
      <c r="AJ3636" s="2">
        <f>AI3636*T3636</f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>AJ3637</f>
        <v>0</v>
      </c>
      <c r="AJ3637" s="2">
        <f>AI3637*T3637</f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>AJ3638</f>
        <v>0</v>
      </c>
      <c r="AJ3638" s="2">
        <f>AI3638*T3638</f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>AJ3639</f>
        <v>0</v>
      </c>
      <c r="AG3639" s="2">
        <v>14.535</v>
      </c>
      <c r="AH3639" s="2">
        <v>25.2</v>
      </c>
      <c r="AJ3639" s="2">
        <f>AI3639*T3639</f>
        <v>0</v>
      </c>
      <c r="AK3639" s="2">
        <f>T3639-W3639</f>
        <v>10.664999999999999</v>
      </c>
      <c r="AL3639" s="5">
        <f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>(T3640-W3640)/T3640</f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>AJ3640</f>
        <v>0</v>
      </c>
      <c r="AG3640" s="2">
        <v>10</v>
      </c>
      <c r="AH3640" s="2">
        <v>21</v>
      </c>
      <c r="AJ3640" s="2">
        <f>AI3640*T3640</f>
        <v>0</v>
      </c>
      <c r="AK3640" s="2">
        <f>T3640-W3640</f>
        <v>11</v>
      </c>
      <c r="AL3640" s="5">
        <f>(T3640-W3640)/T3640</f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>(T3641-W3641)/T3641</f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>AJ3641</f>
        <v>0</v>
      </c>
      <c r="AG3641" s="2">
        <v>10.67</v>
      </c>
      <c r="AH3641" s="2">
        <v>21</v>
      </c>
      <c r="AJ3641" s="2">
        <f>AI3641*T3641</f>
        <v>0</v>
      </c>
      <c r="AK3641" s="2">
        <f>T3641-W3641</f>
        <v>10.33</v>
      </c>
      <c r="AL3641" s="5">
        <f>(T3641-W3641)/T3641</f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>(T3642-W3642)/T3642</f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>AJ3642</f>
        <v>0</v>
      </c>
      <c r="AG3642" s="2">
        <v>122.446</v>
      </c>
      <c r="AH3642" s="2">
        <v>230</v>
      </c>
      <c r="AJ3642" s="2">
        <f>AI3642*T3642</f>
        <v>0</v>
      </c>
      <c r="AK3642" s="2">
        <f>T3642-W3642</f>
        <v>107.554</v>
      </c>
      <c r="AL3642" s="5">
        <f>(T3642-W3642)/T3642</f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>(T3643-W3643)/T3643</f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>AJ3643</f>
        <v>0</v>
      </c>
      <c r="AG3643" s="2">
        <v>1.48</v>
      </c>
      <c r="AH3643" s="2">
        <v>1.48</v>
      </c>
      <c r="AJ3643" s="2">
        <f>AI3643*T3643</f>
        <v>0</v>
      </c>
      <c r="AK3643" s="2">
        <f>T3643-W3643</f>
        <v>0</v>
      </c>
      <c r="AL3643" s="5">
        <f>(T3643-W3643)/T3643</f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E3644" s="2" t="s">
        <v>38</v>
      </c>
      <c r="F3644" s="2" t="s">
        <v>39</v>
      </c>
      <c r="L3644" s="2" t="s">
        <v>419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>6.6267*S3644</f>
        <v>6.6266999999999996</v>
      </c>
      <c r="X3644" s="5">
        <f>(T3644-W3644)/T3644</f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>AJ3644</f>
        <v>0</v>
      </c>
      <c r="AG3644" s="2">
        <v>6.6266999999999996</v>
      </c>
      <c r="AH3644" s="2">
        <v>12</v>
      </c>
      <c r="AJ3644" s="2">
        <f>AI3644*T3644</f>
        <v>0</v>
      </c>
      <c r="AK3644" s="2">
        <f>T3644-W3644</f>
        <v>6.3733000000000004</v>
      </c>
      <c r="AL3644" s="5">
        <f>(T3644-W3644)/T3644</f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>6.6267*S3645</f>
        <v>19.880099999999999</v>
      </c>
      <c r="X3645" s="5">
        <f>(T3645-W3645)/T3645</f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>AJ3645</f>
        <v>0</v>
      </c>
      <c r="AG3645" s="2">
        <v>6.6266999999999996</v>
      </c>
      <c r="AH3645" s="2">
        <v>12</v>
      </c>
      <c r="AJ3645" s="2">
        <f>AI3645*T3645</f>
        <v>0</v>
      </c>
      <c r="AK3645" s="2">
        <f>T3645-W3645</f>
        <v>19.119900000000001</v>
      </c>
      <c r="AL3645" s="5">
        <f>(T3645-W3645)/T3645</f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>6.6267*S3646</f>
        <v>6.6266999999999996</v>
      </c>
      <c r="X3646" s="5">
        <f>(T3646-W3646)/T3646</f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>AJ3646</f>
        <v>0</v>
      </c>
      <c r="AG3646" s="2">
        <v>6.6266999999999996</v>
      </c>
      <c r="AH3646" s="2">
        <v>12</v>
      </c>
      <c r="AJ3646" s="2">
        <f>AI3646*T3646</f>
        <v>0</v>
      </c>
      <c r="AK3646" s="2">
        <f>T3646-W3646</f>
        <v>12.5733</v>
      </c>
      <c r="AL3646" s="5">
        <f>(T3646-W3646)/T3646</f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>6.6267*S3647</f>
        <v>6.6266999999999996</v>
      </c>
      <c r="X3647" s="5">
        <f>(T3647-W3647)/T3647</f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>AJ3647</f>
        <v>0</v>
      </c>
      <c r="AG3647" s="2">
        <v>6.6266999999999996</v>
      </c>
      <c r="AH3647" s="2">
        <v>12</v>
      </c>
      <c r="AJ3647" s="2">
        <f>AI3647*T3647</f>
        <v>0</v>
      </c>
      <c r="AK3647" s="2">
        <f>T3647-W3647</f>
        <v>5.3733000000000004</v>
      </c>
      <c r="AL3647" s="5">
        <f>(T3647-W3647)/T3647</f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>6.6267*S3648</f>
        <v>13.253399999999999</v>
      </c>
      <c r="X3648" s="5">
        <f>(T3648-W3648)/T3648</f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>AJ3648</f>
        <v>0</v>
      </c>
      <c r="AG3648" s="2">
        <v>6.6266999999999996</v>
      </c>
      <c r="AH3648" s="2">
        <v>12</v>
      </c>
      <c r="AJ3648" s="2">
        <f>AI3648*T3648</f>
        <v>0</v>
      </c>
      <c r="AK3648" s="2">
        <f>T3648-W3648</f>
        <v>10.746600000000001</v>
      </c>
      <c r="AL3648" s="5">
        <f>(T3648-W3648)/T3648</f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>6.6267*S3649</f>
        <v>13.253399999999999</v>
      </c>
      <c r="X3649" s="5">
        <f>(T3649-W3649)/T3649</f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>AJ3649</f>
        <v>0</v>
      </c>
      <c r="AG3649" s="2">
        <v>6.6266999999999996</v>
      </c>
      <c r="AH3649" s="2">
        <v>12</v>
      </c>
      <c r="AJ3649" s="2">
        <f>AI3649*T3649</f>
        <v>0</v>
      </c>
      <c r="AK3649" s="2">
        <f>T3649-W3649</f>
        <v>10.746600000000001</v>
      </c>
      <c r="AL3649" s="5">
        <f>(T3649-W3649)/T3649</f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>(T3650-W3650)/T3650</f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>AJ3650</f>
        <v>0</v>
      </c>
      <c r="AJ3650" s="2">
        <f>AI3650*T3650</f>
        <v>0</v>
      </c>
      <c r="AK3650" s="2">
        <f>T3650-W3650</f>
        <v>48.900000000000006</v>
      </c>
      <c r="AL3650" s="5">
        <f>(T3650-W3650)/T3650</f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>(T3651-W3651)/T3651</f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>AJ3651</f>
        <v>0</v>
      </c>
      <c r="AJ3651" s="2">
        <f>AI3651*T3651</f>
        <v>0</v>
      </c>
      <c r="AK3651" s="2">
        <f>T3651-W3651</f>
        <v>24.704999999999998</v>
      </c>
      <c r="AL3651" s="5">
        <f>(T3651-W3651)/T3651</f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>(T3652-W3652)/T3652</f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>AJ3652</f>
        <v>0</v>
      </c>
      <c r="AJ3652" s="2">
        <f>AI3652*T3652</f>
        <v>0</v>
      </c>
      <c r="AK3652" s="2">
        <f>T3652-W3652</f>
        <v>49.41</v>
      </c>
      <c r="AL3652" s="5">
        <f>(T3652-W3652)/T3652</f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>(T3653-W3653)/T3653</f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>AJ3653</f>
        <v>0</v>
      </c>
      <c r="AG3653" s="2">
        <v>122.446</v>
      </c>
      <c r="AH3653" s="2">
        <v>230</v>
      </c>
      <c r="AJ3653" s="2">
        <f>AI3653*T3653</f>
        <v>0</v>
      </c>
      <c r="AK3653" s="2">
        <f>T3653-W3653</f>
        <v>107.554</v>
      </c>
      <c r="AL3653" s="5">
        <f>(T3653-W3653)/T3653</f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>(T3654-W3654)/T3654</f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>AJ3654</f>
        <v>0</v>
      </c>
      <c r="AG3654" s="2">
        <v>14.4</v>
      </c>
      <c r="AH3654" s="2">
        <v>21</v>
      </c>
      <c r="AJ3654" s="2">
        <f>AI3654*T3654</f>
        <v>0</v>
      </c>
      <c r="AK3654" s="2">
        <f>T3654-W3654</f>
        <v>6.6</v>
      </c>
      <c r="AL3654" s="5">
        <f>(T3654-W3654)/T3654</f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>(T3655-W3655)/T3655</f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>AJ3655</f>
        <v>0</v>
      </c>
      <c r="AG3655" s="2">
        <v>1.48</v>
      </c>
      <c r="AH3655" s="2">
        <v>1.48</v>
      </c>
      <c r="AJ3655" s="2">
        <f>AI3655*T3655</f>
        <v>0</v>
      </c>
      <c r="AK3655" s="2">
        <f>T3655-W3655</f>
        <v>0</v>
      </c>
      <c r="AL3655" s="5">
        <f>(T3655-W3655)/T3655</f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E3656" s="2" t="s">
        <v>38</v>
      </c>
      <c r="F3656" s="2" t="s">
        <v>39</v>
      </c>
      <c r="L3656" s="2" t="s">
        <v>419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>(T3656-W3656)/T3656</f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>AJ3656</f>
        <v>0</v>
      </c>
      <c r="AG3656" s="2">
        <v>3.7357999999999998</v>
      </c>
      <c r="AH3656" s="2">
        <v>9</v>
      </c>
      <c r="AJ3656" s="2">
        <f>AI3656*T3656</f>
        <v>0</v>
      </c>
      <c r="AK3656" s="2">
        <f>T3656-W3656</f>
        <v>5.2642000000000007</v>
      </c>
      <c r="AL3656" s="5">
        <f>(T3656-W3656)/T3656</f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>(T3657-W3657)/T3657</f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>AJ3657</f>
        <v>0</v>
      </c>
      <c r="AG3657" s="2">
        <v>3.7357999999999998</v>
      </c>
      <c r="AH3657" s="2">
        <v>9</v>
      </c>
      <c r="AJ3657" s="2">
        <f>AI3657*T3657</f>
        <v>0</v>
      </c>
      <c r="AK3657" s="2">
        <f>T3657-W3657</f>
        <v>5.2642000000000007</v>
      </c>
      <c r="AL3657" s="5">
        <f>(T3657-W3657)/T3657</f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>(T3658-W3658)/T3658</f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>AJ3658</f>
        <v>0</v>
      </c>
      <c r="AG3658" s="2">
        <v>5.2972999999999999</v>
      </c>
      <c r="AH3658" s="2">
        <v>10.8</v>
      </c>
      <c r="AJ3658" s="2">
        <f>AI3658*T3658</f>
        <v>0</v>
      </c>
      <c r="AK3658" s="2">
        <f>T3658-W3658</f>
        <v>5.5027000000000008</v>
      </c>
      <c r="AL3658" s="5">
        <f>(T3658-W3658)/T3658</f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>(T3659-W3659)/T3659</f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>AJ3659</f>
        <v>0</v>
      </c>
      <c r="AG3659" s="2">
        <v>12.73</v>
      </c>
      <c r="AH3659" s="2">
        <v>30</v>
      </c>
      <c r="AJ3659" s="2">
        <f>AI3659*T3659</f>
        <v>0</v>
      </c>
      <c r="AK3659" s="2">
        <f>T3659-W3659</f>
        <v>17.27</v>
      </c>
      <c r="AL3659" s="5">
        <f>(T3659-W3659)/T3659</f>
        <v>0.57566666666666666</v>
      </c>
    </row>
    <row r="3660" spans="1:38" x14ac:dyDescent="0.2">
      <c r="A3660" s="2">
        <v>2026</v>
      </c>
      <c r="B3660" s="2">
        <v>4</v>
      </c>
      <c r="C3660" s="2" t="s">
        <v>3448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>(T3660-W3660)/T3660</f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>AJ3660</f>
        <v>0</v>
      </c>
      <c r="AJ3660" s="2">
        <f>AI3660*T3660</f>
        <v>0</v>
      </c>
      <c r="AK3660" s="2">
        <f>T3660-W3660</f>
        <v>14.17</v>
      </c>
      <c r="AL3660" s="5">
        <f>(T3660-W3660)/T3660</f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>(T3661-W3661)/T3661</f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>AJ3661</f>
        <v>0</v>
      </c>
      <c r="AJ3661" s="2">
        <f>AI3661*T3661</f>
        <v>0</v>
      </c>
      <c r="AK3661" s="2">
        <f>T3661-W3661</f>
        <v>9.1649999999999991</v>
      </c>
      <c r="AL3661" s="5">
        <f>(T3661-W3661)/T3661</f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>(T3662-W3662)/T3662</f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>AJ3662</f>
        <v>0</v>
      </c>
      <c r="AJ3662" s="2">
        <f>AI3662*T3662</f>
        <v>0</v>
      </c>
      <c r="AK3662" s="2">
        <f>T3662-W3662</f>
        <v>10.956599999999998</v>
      </c>
      <c r="AL3662" s="5">
        <f>(T3662-W3662)/T3662</f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>(T3663-W3663)/T3663</f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>AJ3663</f>
        <v>0</v>
      </c>
      <c r="AG3663" s="2">
        <v>6.6266999999999996</v>
      </c>
      <c r="AH3663" s="2">
        <v>12</v>
      </c>
      <c r="AJ3663" s="2">
        <f>AI3663*T3663</f>
        <v>0</v>
      </c>
      <c r="AK3663" s="2">
        <f>T3663-W3663</f>
        <v>5.3733000000000004</v>
      </c>
      <c r="AL3663" s="5">
        <f>(T3663-W3663)/T3663</f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>(T3664-W3664)/T3664</f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>AJ3664</f>
        <v>0</v>
      </c>
      <c r="AG3664" s="2">
        <v>7.2217000000000002</v>
      </c>
      <c r="AH3664" s="2">
        <v>14.4</v>
      </c>
      <c r="AJ3664" s="2">
        <f>AI3664*T3664</f>
        <v>0</v>
      </c>
      <c r="AK3664" s="2">
        <f>T3664-W3664</f>
        <v>7.1783000000000001</v>
      </c>
      <c r="AL3664" s="5">
        <f>(T3664-W3664)/T3664</f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>(T3665-W3665)/T3665</f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>AJ3665</f>
        <v>0</v>
      </c>
      <c r="AG3665" s="2">
        <v>7.2217000000000002</v>
      </c>
      <c r="AH3665" s="2">
        <v>14.4</v>
      </c>
      <c r="AJ3665" s="2">
        <f>AI3665*T3665</f>
        <v>0</v>
      </c>
      <c r="AK3665" s="2">
        <f>T3665-W3665</f>
        <v>7.1783000000000001</v>
      </c>
      <c r="AL3665" s="5">
        <f>(T3665-W3665)/T3665</f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>(T3666-W3666)/T3666</f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>AJ3666</f>
        <v>0</v>
      </c>
      <c r="AJ3666" s="2">
        <f>AI3666*T3666</f>
        <v>0</v>
      </c>
      <c r="AK3666" s="2">
        <f>T3666-W3666</f>
        <v>8.3249999999999993</v>
      </c>
      <c r="AL3666" s="5">
        <f>(T3666-W3666)/T3666</f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>(T3667-W3667)/T3667</f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>AJ3667</f>
        <v>0</v>
      </c>
      <c r="AJ3667" s="2">
        <f>AI3667*T3667</f>
        <v>0</v>
      </c>
      <c r="AK3667" s="2">
        <f>T3667-W3667</f>
        <v>8.3249999999999993</v>
      </c>
      <c r="AL3667" s="5">
        <f>(T3667-W3667)/T3667</f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>(T3668-W3668)/T3668</f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>AJ3668</f>
        <v>0</v>
      </c>
      <c r="AJ3668" s="2">
        <f>AI3668*T3668</f>
        <v>0</v>
      </c>
      <c r="AK3668" s="2">
        <f>T3668-W3668</f>
        <v>21</v>
      </c>
      <c r="AL3668" s="5">
        <f>(T3668-W3668)/T3668</f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>(T3669-W3669)/T3669</f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>AJ3669</f>
        <v>0</v>
      </c>
      <c r="AJ3669" s="2">
        <f>AI3669*T3669</f>
        <v>0</v>
      </c>
      <c r="AK3669" s="2">
        <f>T3669-W3669</f>
        <v>21</v>
      </c>
      <c r="AL3669" s="5">
        <f>(T3669-W3669)/T3669</f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4">13.4067*S3670</f>
        <v>26.813400000000001</v>
      </c>
      <c r="X3670" s="5">
        <f>(T3670-W3670)/T3670</f>
        <v>0.4679880952380952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>AJ3670</f>
        <v>0</v>
      </c>
      <c r="AJ3670" s="2">
        <f>AI3670*T3670</f>
        <v>0</v>
      </c>
      <c r="AK3670" s="2">
        <f>T3670-W3670</f>
        <v>23.586599999999997</v>
      </c>
      <c r="AL3670" s="5">
        <f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4"/>
        <v>13.406700000000001</v>
      </c>
      <c r="X3671" s="5">
        <f>(T3671-W3671)/T3671</f>
        <v>0.4679880952380952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>AJ3671</f>
        <v>0</v>
      </c>
      <c r="AJ3671" s="2">
        <f>AI3671*T3671</f>
        <v>0</v>
      </c>
      <c r="AK3671" s="2">
        <f>T3671-W3671</f>
        <v>11.793299999999999</v>
      </c>
      <c r="AL3671" s="5">
        <f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">16.2249*S3672</f>
        <v>32.449800000000003</v>
      </c>
      <c r="X3672" s="5">
        <f>(T3672-W3672)/T3672</f>
        <v>0.45916999999999997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>AJ3672</f>
        <v>0</v>
      </c>
      <c r="AJ3672" s="2">
        <f>AI3672*T3672</f>
        <v>0</v>
      </c>
      <c r="AK3672" s="2">
        <f>T3672-W3672</f>
        <v>27.550199999999997</v>
      </c>
      <c r="AL3672" s="5">
        <f>(T3672-W3672)/T3672</f>
        <v>0.45916999999999997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"/>
        <v>16.224900000000002</v>
      </c>
      <c r="X3673" s="5">
        <f>(T3673-W3673)/T3673</f>
        <v>0.45916999999999997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>AJ3673</f>
        <v>0</v>
      </c>
      <c r="AJ3673" s="2">
        <f>AI3673*T3673</f>
        <v>0</v>
      </c>
      <c r="AK3673" s="2">
        <f>T3673-W3673</f>
        <v>13.775099999999998</v>
      </c>
      <c r="AL3673" s="5">
        <f>(T3673-W3673)/T3673</f>
        <v>0.45916999999999997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>(T3674-W3674)/T3674</f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>AJ3674</f>
        <v>0</v>
      </c>
      <c r="AJ3674" s="2">
        <f>AI3674*T3674</f>
        <v>0</v>
      </c>
      <c r="AK3674" s="2">
        <f>T3674-W3674</f>
        <v>36</v>
      </c>
      <c r="AL3674" s="5">
        <f>(T3674-W3674)/T3674</f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>(T3675-W3675)/T3675</f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>AJ3675</f>
        <v>0</v>
      </c>
      <c r="AJ3675" s="2">
        <f>AI3675*T3675</f>
        <v>0</v>
      </c>
      <c r="AK3675" s="2">
        <f>T3675-W3675</f>
        <v>18</v>
      </c>
      <c r="AL3675" s="5">
        <f>(T3675-W3675)/T3675</f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>10.6*S3676</f>
        <v>31.799999999999997</v>
      </c>
      <c r="X3676" s="5">
        <f>(T3676-W3676)/T3676</f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>AJ3676</f>
        <v>0</v>
      </c>
      <c r="AG3676" s="2">
        <v>10.6</v>
      </c>
      <c r="AH3676" s="2">
        <v>18</v>
      </c>
      <c r="AJ3676" s="2">
        <f>AI3676*T3676</f>
        <v>0</v>
      </c>
      <c r="AK3676" s="2">
        <f>T3676-W3676</f>
        <v>22.200000000000003</v>
      </c>
      <c r="AL3676" s="5">
        <f>(T3676-W3676)/T3676</f>
        <v>0.41111111111111115</v>
      </c>
    </row>
    <row r="3677" spans="1:38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>10.6*S3677</f>
        <v>21.2</v>
      </c>
      <c r="X3677" s="5">
        <f>(T3677-W3677)/T3677</f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>AJ3677</f>
        <v>0</v>
      </c>
      <c r="AG3677" s="2">
        <v>10.6</v>
      </c>
      <c r="AH3677" s="2">
        <v>18</v>
      </c>
      <c r="AJ3677" s="2">
        <f>AI3677*T3677</f>
        <v>0</v>
      </c>
      <c r="AK3677" s="2">
        <f>T3677-W3677</f>
        <v>14.8</v>
      </c>
      <c r="AL3677" s="5">
        <f>(T3677-W3677)/T3677</f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>10.6*S3678</f>
        <v>10.6</v>
      </c>
      <c r="X3678" s="5">
        <f>(T3678-W3678)/T3678</f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>AJ3678</f>
        <v>0</v>
      </c>
      <c r="AG3678" s="2">
        <v>10.6</v>
      </c>
      <c r="AH3678" s="2">
        <v>18</v>
      </c>
      <c r="AJ3678" s="2">
        <f>AI3678*T3678</f>
        <v>0</v>
      </c>
      <c r="AK3678" s="2">
        <f>T3678-W3678</f>
        <v>7.4</v>
      </c>
      <c r="AL3678" s="5">
        <f>(T3678-W3678)/T3678</f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>10.6*S3679</f>
        <v>106</v>
      </c>
      <c r="X3679" s="5">
        <f>(T3679-W3679)/T3679</f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>AJ3679</f>
        <v>0</v>
      </c>
      <c r="AG3679" s="2">
        <v>10.6</v>
      </c>
      <c r="AH3679" s="2">
        <v>18</v>
      </c>
      <c r="AJ3679" s="2">
        <f>AI3679*T3679</f>
        <v>0</v>
      </c>
      <c r="AK3679" s="2">
        <f>T3679-W3679</f>
        <v>44</v>
      </c>
      <c r="AL3679" s="5">
        <f>(T3679-W3679)/T3679</f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>10.6*S3680</f>
        <v>106</v>
      </c>
      <c r="X3680" s="5">
        <f>(T3680-W3680)/T3680</f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>AJ3680</f>
        <v>0</v>
      </c>
      <c r="AG3680" s="2">
        <v>10.6</v>
      </c>
      <c r="AH3680" s="2">
        <v>18</v>
      </c>
      <c r="AJ3680" s="2">
        <f>AI3680*T3680</f>
        <v>0</v>
      </c>
      <c r="AK3680" s="2">
        <f>T3680-W3680</f>
        <v>44</v>
      </c>
      <c r="AL3680" s="5">
        <f>(T3680-W3680)/T3680</f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>10.6*S3681</f>
        <v>10.6</v>
      </c>
      <c r="X3681" s="5">
        <f>(T3681-W3681)/T3681</f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>AJ3681</f>
        <v>0</v>
      </c>
      <c r="AG3681" s="2">
        <v>10.6</v>
      </c>
      <c r="AH3681" s="2">
        <v>18</v>
      </c>
      <c r="AJ3681" s="2">
        <f>AI3681*T3681</f>
        <v>0</v>
      </c>
      <c r="AK3681" s="2">
        <f>T3681-W3681</f>
        <v>7.4</v>
      </c>
      <c r="AL3681" s="5">
        <f>(T3681-W3681)/T3681</f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>(T3682-W3682)/T3682</f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>AJ3682</f>
        <v>0</v>
      </c>
      <c r="AJ3682" s="2">
        <f>AI3682*T3682</f>
        <v>0</v>
      </c>
      <c r="AK3682" s="2">
        <f>T3682-W3682</f>
        <v>9.6</v>
      </c>
      <c r="AL3682" s="5">
        <f>(T3682-W3682)/T3682</f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>(T3683-W3683)/T3683</f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>AJ3683</f>
        <v>0</v>
      </c>
      <c r="AJ3683" s="2">
        <f>AI3683*T3683</f>
        <v>0</v>
      </c>
      <c r="AK3683" s="2">
        <f>T3683-W3683</f>
        <v>49.808399999999999</v>
      </c>
      <c r="AL3683" s="5">
        <f>(T3683-W3683)/T3683</f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E3684" s="2" t="s">
        <v>38</v>
      </c>
      <c r="F3684" s="2" t="s">
        <v>39</v>
      </c>
      <c r="L3684" s="2" t="s">
        <v>419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>(T3684-W3684)/T3684</f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>AJ3684</f>
        <v>0</v>
      </c>
      <c r="AG3684" s="2">
        <v>9.14</v>
      </c>
      <c r="AH3684" s="2">
        <v>16</v>
      </c>
      <c r="AJ3684" s="2">
        <f>AI3684*T3684</f>
        <v>0</v>
      </c>
      <c r="AK3684" s="2">
        <f>T3684-W3684</f>
        <v>3.8600000000000012</v>
      </c>
      <c r="AL3684" s="5">
        <f>(T3684-W3684)/T3684</f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>(T3685-W3685)/T3685</f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>AJ3685</f>
        <v>0</v>
      </c>
      <c r="AG3685" s="2">
        <v>9.14</v>
      </c>
      <c r="AH3685" s="2">
        <v>16</v>
      </c>
      <c r="AJ3685" s="2">
        <f>AI3685*T3685</f>
        <v>0</v>
      </c>
      <c r="AK3685" s="2">
        <f>T3685-W3685</f>
        <v>7.7200000000000024</v>
      </c>
      <c r="AL3685" s="5">
        <f>(T3685-W3685)/T3685</f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>0.082*S3686</f>
        <v>82</v>
      </c>
      <c r="X3686" s="5">
        <f>(T3686-W3686)/T3686</f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>AJ3686</f>
        <v>0</v>
      </c>
      <c r="AG3686" s="2">
        <v>8.1999999999999993</v>
      </c>
      <c r="AH3686" s="2">
        <v>13</v>
      </c>
      <c r="AJ3686" s="2">
        <f>AI3686*T3686</f>
        <v>0</v>
      </c>
      <c r="AK3686" s="2">
        <f>T3686-W3686</f>
        <v>28</v>
      </c>
      <c r="AL3686" s="5">
        <f>(T3686-W3686)/T3686</f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>0.082*S3687</f>
        <v>82</v>
      </c>
      <c r="X3687" s="5">
        <f>(T3687-W3687)/T3687</f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>AJ3687</f>
        <v>0</v>
      </c>
      <c r="AG3687" s="2">
        <v>8.1999999999999993</v>
      </c>
      <c r="AH3687" s="2">
        <v>13</v>
      </c>
      <c r="AJ3687" s="2">
        <f>AI3687*T3687</f>
        <v>0</v>
      </c>
      <c r="AK3687" s="2">
        <f>T3687-W3687</f>
        <v>28</v>
      </c>
      <c r="AL3687" s="5">
        <f>(T3687-W3687)/T3687</f>
        <v>0.25454545454545452</v>
      </c>
    </row>
    <row r="3688" spans="1:38" x14ac:dyDescent="0.2">
      <c r="A3688" s="2">
        <v>2026</v>
      </c>
      <c r="B3688" s="2">
        <v>4</v>
      </c>
      <c r="C3688" s="2" t="s">
        <v>3448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>0.082*S3688</f>
        <v>41</v>
      </c>
      <c r="X3688" s="5">
        <f>(T3688-W3688)/T3688</f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>AJ3688</f>
        <v>0</v>
      </c>
      <c r="AG3688" s="2">
        <v>8.1999999999999993</v>
      </c>
      <c r="AH3688" s="2">
        <v>13</v>
      </c>
      <c r="AJ3688" s="2">
        <f>AI3688*T3688</f>
        <v>0</v>
      </c>
      <c r="AK3688" s="2">
        <f>T3688-W3688</f>
        <v>24</v>
      </c>
      <c r="AL3688" s="5">
        <f>(T3688-W3688)/T3688</f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>0.082*S3689</f>
        <v>32.800000000000004</v>
      </c>
      <c r="X3689" s="5">
        <f>(T3689-W3689)/T3689</f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>AJ3689</f>
        <v>0</v>
      </c>
      <c r="AG3689" s="2">
        <v>8.1999999999999993</v>
      </c>
      <c r="AH3689" s="2">
        <v>13</v>
      </c>
      <c r="AJ3689" s="2">
        <f>AI3689*T3689</f>
        <v>0</v>
      </c>
      <c r="AK3689" s="2">
        <f>T3689-W3689</f>
        <v>19.199999999999996</v>
      </c>
      <c r="AL3689" s="5">
        <f>(T3689-W3689)/T3689</f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>0.082*S3690</f>
        <v>82</v>
      </c>
      <c r="X3690" s="5">
        <f>(T3690-W3690)/T3690</f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>AJ3690</f>
        <v>0</v>
      </c>
      <c r="AG3690" s="2">
        <v>8.1999999999999993</v>
      </c>
      <c r="AH3690" s="2">
        <v>13</v>
      </c>
      <c r="AJ3690" s="2">
        <f>AI3690*T3690</f>
        <v>0</v>
      </c>
      <c r="AK3690" s="2">
        <f>T3690-W3690</f>
        <v>28</v>
      </c>
      <c r="AL3690" s="5">
        <f>(T3690-W3690)/T3690</f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>0.082*S3691</f>
        <v>82</v>
      </c>
      <c r="X3691" s="5">
        <f>(T3691-W3691)/T3691</f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>AJ3691</f>
        <v>0</v>
      </c>
      <c r="AG3691" s="2">
        <v>8.1999999999999993</v>
      </c>
      <c r="AH3691" s="2">
        <v>13</v>
      </c>
      <c r="AJ3691" s="2">
        <f>AI3691*T3691</f>
        <v>0</v>
      </c>
      <c r="AK3691" s="2">
        <f>T3691-W3691</f>
        <v>28</v>
      </c>
      <c r="AL3691" s="5">
        <f>(T3691-W3691)/T3691</f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>0.082*S3692</f>
        <v>16.400000000000002</v>
      </c>
      <c r="X3692" s="5">
        <f>(T3692-W3692)/T3692</f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>AJ3692</f>
        <v>0</v>
      </c>
      <c r="AG3692" s="2">
        <v>8.1999999999999993</v>
      </c>
      <c r="AH3692" s="2">
        <v>13</v>
      </c>
      <c r="AJ3692" s="2">
        <f>AI3692*T3692</f>
        <v>0</v>
      </c>
      <c r="AK3692" s="2">
        <f>T3692-W3692</f>
        <v>9.5999999999999979</v>
      </c>
      <c r="AL3692" s="5">
        <f>(T3692-W3692)/T3692</f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>(T3693-W3693)/T3693</f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>AJ3693</f>
        <v>0</v>
      </c>
      <c r="AJ3693" s="2">
        <f>AI3693*T3693</f>
        <v>0</v>
      </c>
      <c r="AK3693" s="2">
        <f>T3693-W3693</f>
        <v>24.300000000000004</v>
      </c>
      <c r="AL3693" s="5">
        <f>(T3693-W3693)/T3693</f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>(T3694-W3694)/T3694</f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>AJ3694</f>
        <v>0</v>
      </c>
      <c r="AJ3694" s="2">
        <f>AI3694*T3694</f>
        <v>0</v>
      </c>
      <c r="AK3694" s="2">
        <f>T3694-W3694</f>
        <v>4.8600000000000012</v>
      </c>
      <c r="AL3694" s="5">
        <f>(T3694-W3694)/T3694</f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>(T3695-W3695)/T3695</f>
        <v>0.67333333333333334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>AJ3695</f>
        <v>0</v>
      </c>
      <c r="AJ3695" s="2">
        <f>AI3695*T3695</f>
        <v>0</v>
      </c>
      <c r="AK3695" s="2">
        <f>T3695-W3695</f>
        <v>12.120000000000001</v>
      </c>
      <c r="AL3695" s="5">
        <f>(T3695-W3695)/T3695</f>
        <v>0.67333333333333334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>(T3696-W3696)/T3696</f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>AJ3696</f>
        <v>0</v>
      </c>
      <c r="AJ3696" s="2">
        <f>AI3696*T3696</f>
        <v>0</v>
      </c>
      <c r="AK3696" s="2">
        <f>T3696-W3696</f>
        <v>42</v>
      </c>
      <c r="AL3696" s="5">
        <f>(T3696-W3696)/T3696</f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>(T3697-W3697)/T3697</f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>AJ3697</f>
        <v>0</v>
      </c>
      <c r="AJ3697" s="2">
        <f>AI3697*T3697</f>
        <v>0</v>
      </c>
      <c r="AK3697" s="2">
        <f>T3697-W3697</f>
        <v>26</v>
      </c>
      <c r="AL3697" s="5">
        <f>(T3697-W3697)/T3697</f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>(T3698-W3698)/T3698</f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>AJ3698</f>
        <v>0</v>
      </c>
      <c r="AG3698" s="2">
        <v>1.1122000000000001</v>
      </c>
      <c r="AH3698" s="2">
        <v>3</v>
      </c>
      <c r="AJ3698" s="2">
        <f>AI3698*T3698</f>
        <v>0</v>
      </c>
      <c r="AK3698" s="2">
        <f>T3698-W3698</f>
        <v>15.102399999999999</v>
      </c>
      <c r="AL3698" s="5">
        <f>(T3698-W3698)/T3698</f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>(T3699-W3699)/T3699</f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>AJ3699</f>
        <v>0</v>
      </c>
      <c r="AG3699" s="2">
        <v>1.4114</v>
      </c>
      <c r="AH3699" s="2">
        <v>3</v>
      </c>
      <c r="AJ3699" s="2">
        <f>AI3699*T3699</f>
        <v>0</v>
      </c>
      <c r="AK3699" s="2">
        <f>T3699-W3699</f>
        <v>63.543999999999997</v>
      </c>
      <c r="AL3699" s="5">
        <f>(T3699-W3699)/T3699</f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>AJ3700</f>
        <v>0</v>
      </c>
      <c r="AJ3700" s="2">
        <f>AI3700*T3700</f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>AJ3701</f>
        <v>0</v>
      </c>
      <c r="AG3701" s="2">
        <v>16.692499999999999</v>
      </c>
      <c r="AH3701" s="2">
        <v>27.6</v>
      </c>
      <c r="AJ3701" s="2">
        <f>AI3701*T3701</f>
        <v>0</v>
      </c>
      <c r="AK3701" s="2">
        <f>T3701-W3701</f>
        <v>11.615000000000002</v>
      </c>
      <c r="AL3701" s="5">
        <f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>(T3702-W3702)/T3702</f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>AJ3702</f>
        <v>0</v>
      </c>
      <c r="AG3702" s="2">
        <v>16.692499999999999</v>
      </c>
      <c r="AH3702" s="2">
        <v>27.6</v>
      </c>
      <c r="AJ3702" s="2">
        <f>AI3702*T3702</f>
        <v>0</v>
      </c>
      <c r="AK3702" s="2">
        <f>T3702-W3702</f>
        <v>6.307500000000001</v>
      </c>
      <c r="AL3702" s="5">
        <f>(T3702-W3702)/T3702</f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>(T3703-W3703)/T3703</f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>AJ3703</f>
        <v>0</v>
      </c>
      <c r="AJ3703" s="2">
        <f>AI3703*T3703</f>
        <v>0</v>
      </c>
      <c r="AK3703" s="2">
        <f>T3703-W3703</f>
        <v>111.07439999999997</v>
      </c>
      <c r="AL3703" s="5">
        <f>(T3703-W3703)/T3703</f>
        <v>0.20122173913043473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>(T3704-W3704)/T3704</f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>AJ3704</f>
        <v>0</v>
      </c>
      <c r="AJ3704" s="2">
        <f>AI3704*T3704</f>
        <v>0</v>
      </c>
      <c r="AK3704" s="2">
        <f>T3704-W3704</f>
        <v>552</v>
      </c>
      <c r="AL3704" s="5">
        <f>(T3704-W3704)/T3704</f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1103</v>
      </c>
      <c r="J3705" s="2" t="s">
        <v>1104</v>
      </c>
      <c r="L3705" s="2" t="s">
        <v>178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>(T3705-W3705)/T3705</f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>AJ3705</f>
        <v>0</v>
      </c>
      <c r="AJ3705" s="2">
        <f>AI3705*T3705</f>
        <v>0</v>
      </c>
      <c r="AK3705" s="2">
        <f>T3705-W3705</f>
        <v>6.7280000000000006</v>
      </c>
      <c r="AL3705" s="5">
        <f>(T3705-W3705)/T3705</f>
        <v>0.46722222222222226</v>
      </c>
    </row>
    <row r="3706" spans="1:38" x14ac:dyDescent="0.2">
      <c r="A3706" s="2">
        <v>2026</v>
      </c>
      <c r="B3706" s="2">
        <v>4</v>
      </c>
      <c r="C3706" s="2" t="s">
        <v>3448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>(T3706-W3706)/T3706</f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>AJ3706</f>
        <v>0</v>
      </c>
      <c r="AG3706" s="2">
        <v>7.9611999999999998</v>
      </c>
      <c r="AH3706" s="2">
        <v>14.4</v>
      </c>
      <c r="AJ3706" s="2">
        <f>AI3706*T3706</f>
        <v>0</v>
      </c>
      <c r="AK3706" s="2">
        <f>T3706-W3706</f>
        <v>28.155200000000001</v>
      </c>
      <c r="AL3706" s="5">
        <f>(T3706-W3706)/T3706</f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>15.0203*S3707</f>
        <v>15.020300000000001</v>
      </c>
      <c r="X3707" s="5">
        <f>(T3707-W3707)/T3707</f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>AJ3707</f>
        <v>0</v>
      </c>
      <c r="AG3707" s="2">
        <v>15.020300000000001</v>
      </c>
      <c r="AH3707" s="2">
        <v>27.6</v>
      </c>
      <c r="AJ3707" s="2">
        <f>AI3707*T3707</f>
        <v>0</v>
      </c>
      <c r="AK3707" s="2">
        <f>T3707-W3707</f>
        <v>12.579700000000001</v>
      </c>
      <c r="AL3707" s="5">
        <f>(T3707-W3707)/T3707</f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>15.0203*S3708</f>
        <v>45.060900000000004</v>
      </c>
      <c r="X3708" s="5">
        <f>(T3708-W3708)/T3708</f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>AJ3708</f>
        <v>0</v>
      </c>
      <c r="AG3708" s="2">
        <v>15.020300000000001</v>
      </c>
      <c r="AH3708" s="2">
        <v>27.6</v>
      </c>
      <c r="AJ3708" s="2">
        <f>AI3708*T3708</f>
        <v>0</v>
      </c>
      <c r="AK3708" s="2">
        <f>T3708-W3708</f>
        <v>26.939099999999996</v>
      </c>
      <c r="AL3708" s="5">
        <f>(T3708-W3708)/T3708</f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>15.0203*S3709</f>
        <v>15.020300000000001</v>
      </c>
      <c r="X3709" s="5">
        <f>(T3709-W3709)/T3709</f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>AJ3709</f>
        <v>0</v>
      </c>
      <c r="AG3709" s="2">
        <v>15.020300000000001</v>
      </c>
      <c r="AH3709" s="2">
        <v>27.6</v>
      </c>
      <c r="AJ3709" s="2">
        <f>AI3709*T3709</f>
        <v>0</v>
      </c>
      <c r="AK3709" s="2">
        <f>T3709-W3709</f>
        <v>12.579700000000001</v>
      </c>
      <c r="AL3709" s="5">
        <f>(T3709-W3709)/T3709</f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E3710" s="2" t="s">
        <v>109</v>
      </c>
      <c r="F3710" s="2" t="s">
        <v>39</v>
      </c>
      <c r="L3710" s="2" t="s">
        <v>100</v>
      </c>
      <c r="M3710" s="2" t="s">
        <v>41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>15.0203*S3710</f>
        <v>150.203</v>
      </c>
      <c r="X3710" s="5">
        <f>(T3710-W3710)/T3710</f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>AJ3710</f>
        <v>0</v>
      </c>
      <c r="AG3710" s="2">
        <v>15.020300000000001</v>
      </c>
      <c r="AH3710" s="2">
        <v>27.6</v>
      </c>
      <c r="AJ3710" s="2">
        <f>AI3710*T3710</f>
        <v>0</v>
      </c>
      <c r="AK3710" s="2">
        <f>T3710-W3710</f>
        <v>64.796999999999997</v>
      </c>
      <c r="AL3710" s="5">
        <f>(T3710-W3710)/T3710</f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>15.0203*S3711</f>
        <v>15.020300000000001</v>
      </c>
      <c r="X3711" s="5">
        <f>(T3711-W3711)/T3711</f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>AJ3711</f>
        <v>0</v>
      </c>
      <c r="AG3711" s="2">
        <v>15.020300000000001</v>
      </c>
      <c r="AH3711" s="2">
        <v>27.6</v>
      </c>
      <c r="AJ3711" s="2">
        <f>AI3711*T3711</f>
        <v>0</v>
      </c>
      <c r="AK3711" s="2">
        <f>T3711-W3711</f>
        <v>12.579700000000001</v>
      </c>
      <c r="AL3711" s="5">
        <f>(T3711-W3711)/T3711</f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>15.0203*S3712</f>
        <v>600.81200000000001</v>
      </c>
      <c r="X3712" s="5">
        <f>(T3712-W3712)/T3712</f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>AJ3712</f>
        <v>0</v>
      </c>
      <c r="AG3712" s="2">
        <v>15.020300000000001</v>
      </c>
      <c r="AH3712" s="2">
        <v>27.6</v>
      </c>
      <c r="AJ3712" s="2">
        <f>AI3712*T3712</f>
        <v>0</v>
      </c>
      <c r="AK3712" s="2">
        <f>T3712-W3712</f>
        <v>239.18799999999999</v>
      </c>
      <c r="AL3712" s="5">
        <f>(T3712-W3712)/T3712</f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>(T3713-W3713)/T3713</f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>AJ3713</f>
        <v>0</v>
      </c>
      <c r="AG3713" s="2">
        <v>8.3145000000000007</v>
      </c>
      <c r="AH3713" s="2">
        <v>15</v>
      </c>
      <c r="AJ3713" s="2">
        <f>AI3713*T3713</f>
        <v>0</v>
      </c>
      <c r="AK3713" s="2">
        <f>T3713-W3713</f>
        <v>11.370999999999999</v>
      </c>
      <c r="AL3713" s="5">
        <f>(T3713-W3713)/T3713</f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>(T3714-W3714)/T3714</f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>AJ3714</f>
        <v>0</v>
      </c>
      <c r="AG3714" s="2">
        <v>8.3145000000000007</v>
      </c>
      <c r="AH3714" s="2">
        <v>15</v>
      </c>
      <c r="AJ3714" s="2">
        <f>AI3714*T3714</f>
        <v>0</v>
      </c>
      <c r="AK3714" s="2">
        <f>T3714-W3714</f>
        <v>6.6854999999999993</v>
      </c>
      <c r="AL3714" s="5">
        <f>(T3714-W3714)/T3714</f>
        <v>0.44569999999999993</v>
      </c>
    </row>
    <row r="3715" spans="1:38" x14ac:dyDescent="0.2">
      <c r="A3715" s="2">
        <v>2026</v>
      </c>
      <c r="B3715" s="2">
        <v>4</v>
      </c>
      <c r="C3715" s="2" t="s">
        <v>3448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>(T3715-W3715)/T3715</f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>AJ3715</f>
        <v>0</v>
      </c>
      <c r="AG3715" s="2">
        <v>35.78</v>
      </c>
      <c r="AH3715" s="2">
        <v>63.6</v>
      </c>
      <c r="AJ3715" s="2">
        <f>AI3715*T3715</f>
        <v>0</v>
      </c>
      <c r="AK3715" s="2">
        <f>T3715-W3715</f>
        <v>24.22</v>
      </c>
      <c r="AL3715" s="5">
        <f>(T3715-W3715)/T3715</f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>(T3716-W3716)/T3716</f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>AJ3716</f>
        <v>0</v>
      </c>
      <c r="AJ3716" s="2">
        <f>AI3716*T3716</f>
        <v>0</v>
      </c>
      <c r="AK3716" s="2">
        <f>T3716-W3716</f>
        <v>7073.38</v>
      </c>
      <c r="AL3716" s="5">
        <f>(T3716-W3716)/T3716</f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>AJ3717</f>
        <v>0</v>
      </c>
      <c r="AJ3717" s="2">
        <f>AI3717*T3717</f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>(T3718-W3718)/T3718</f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>AJ3718</f>
        <v>0</v>
      </c>
      <c r="AG3718" s="2">
        <v>125.51600000000001</v>
      </c>
      <c r="AH3718" s="2">
        <v>220</v>
      </c>
      <c r="AJ3718" s="2">
        <f>AI3718*T3718</f>
        <v>0</v>
      </c>
      <c r="AK3718" s="2">
        <f>T3718-W3718</f>
        <v>94.483999999999995</v>
      </c>
      <c r="AL3718" s="5">
        <f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>(T3719-W3719)/T3719</f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>AJ3719</f>
        <v>0</v>
      </c>
      <c r="AG3719" s="2">
        <v>125.51600000000001</v>
      </c>
      <c r="AH3719" s="2">
        <v>220</v>
      </c>
      <c r="AJ3719" s="2">
        <f>AI3719*T3719</f>
        <v>0</v>
      </c>
      <c r="AK3719" s="2">
        <f>T3719-W3719</f>
        <v>94.483999999999995</v>
      </c>
      <c r="AL3719" s="5">
        <f>(T3719-W3719)/T3719</f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>(T3720-W3720)/T3720</f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>AJ3720</f>
        <v>0</v>
      </c>
      <c r="AG3720" s="2">
        <v>125.51600000000001</v>
      </c>
      <c r="AH3720" s="2">
        <v>220</v>
      </c>
      <c r="AJ3720" s="2">
        <f>AI3720*T3720</f>
        <v>0</v>
      </c>
      <c r="AK3720" s="2">
        <f>T3720-W3720</f>
        <v>94.483999999999995</v>
      </c>
      <c r="AL3720" s="5">
        <f>(T3720-W3720)/T3720</f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>(T3721-W3721)/T3721</f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>AJ3721</f>
        <v>0</v>
      </c>
      <c r="AG3721" s="2">
        <v>125.51600000000001</v>
      </c>
      <c r="AH3721" s="2">
        <v>220</v>
      </c>
      <c r="AJ3721" s="2">
        <f>AI3721*T3721</f>
        <v>0</v>
      </c>
      <c r="AK3721" s="2">
        <f>T3721-W3721</f>
        <v>94.483999999999995</v>
      </c>
      <c r="AL3721" s="5">
        <f>(T3721-W3721)/T3721</f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>(T3722-W3722)/T3722</f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>AJ3722</f>
        <v>0</v>
      </c>
      <c r="AG3722" s="2">
        <v>125.51600000000001</v>
      </c>
      <c r="AH3722" s="2">
        <v>220</v>
      </c>
      <c r="AJ3722" s="2">
        <f>AI3722*T3722</f>
        <v>0</v>
      </c>
      <c r="AK3722" s="2">
        <f>T3722-W3722</f>
        <v>188.96799999999999</v>
      </c>
      <c r="AL3722" s="5">
        <f>(T3722-W3722)/T3722</f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>(T3723-W3723)/T3723</f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>AJ3723</f>
        <v>0</v>
      </c>
      <c r="AG3723" s="2">
        <v>125.51600000000001</v>
      </c>
      <c r="AH3723" s="2">
        <v>220</v>
      </c>
      <c r="AJ3723" s="2">
        <f>AI3723*T3723</f>
        <v>0</v>
      </c>
      <c r="AK3723" s="2">
        <f>T3723-W3723</f>
        <v>94.483999999999995</v>
      </c>
      <c r="AL3723" s="5">
        <f>(T3723-W3723)/T3723</f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>(T3724-W3724)/T3724</f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>AJ3724</f>
        <v>0</v>
      </c>
      <c r="AG3724" s="2">
        <v>125.51600000000001</v>
      </c>
      <c r="AH3724" s="2">
        <v>220</v>
      </c>
      <c r="AJ3724" s="2">
        <f>AI3724*T3724</f>
        <v>0</v>
      </c>
      <c r="AK3724" s="2">
        <f>T3724-W3724</f>
        <v>87.884</v>
      </c>
      <c r="AL3724" s="5">
        <f>(T3724-W3724)/T3724</f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>(T3725-W3725)/T3725</f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>AJ3725</f>
        <v>0</v>
      </c>
      <c r="AG3725" s="2">
        <v>125.51600000000001</v>
      </c>
      <c r="AH3725" s="2">
        <v>220</v>
      </c>
      <c r="AJ3725" s="2">
        <f>AI3725*T3725</f>
        <v>0</v>
      </c>
      <c r="AK3725" s="2">
        <f>T3725-W3725</f>
        <v>94.483999999999995</v>
      </c>
      <c r="AL3725" s="5">
        <f>(T3725-W3725)/T3725</f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>(T3726-W3726)/T3726</f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>AJ3726</f>
        <v>0</v>
      </c>
      <c r="AG3726" s="2">
        <v>104.49</v>
      </c>
      <c r="AH3726" s="2">
        <v>220</v>
      </c>
      <c r="AJ3726" s="2">
        <f>AI3726*T3726</f>
        <v>0</v>
      </c>
      <c r="AK3726" s="2">
        <f>T3726-W3726</f>
        <v>115.51</v>
      </c>
      <c r="AL3726" s="5">
        <f>(T3726-W3726)/T3726</f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>(T3727-W3727)/T3727</f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>AJ3727</f>
        <v>0</v>
      </c>
      <c r="AG3727" s="2">
        <v>115.05</v>
      </c>
      <c r="AJ3727" s="2">
        <f>AI3727*T3727</f>
        <v>0</v>
      </c>
      <c r="AK3727" s="2">
        <f>T3727-W3727</f>
        <v>104.95</v>
      </c>
      <c r="AL3727" s="5">
        <f>(T3727-W3727)/T3727</f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>(T3728-W3728)/T3728</f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>AJ3728</f>
        <v>0</v>
      </c>
      <c r="AG3728" s="2">
        <v>143.91999999999999</v>
      </c>
      <c r="AJ3728" s="2">
        <f>AI3728*T3728</f>
        <v>0</v>
      </c>
      <c r="AK3728" s="2">
        <f>T3728-W3728</f>
        <v>86.080000000000013</v>
      </c>
      <c r="AL3728" s="5">
        <f>(T3728-W3728)/T3728</f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>(T3729-W3729)/T3729</f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>AJ3729</f>
        <v>0</v>
      </c>
      <c r="AJ3729" s="2">
        <f>AI3729*T3729</f>
        <v>0</v>
      </c>
      <c r="AK3729" s="2">
        <f>T3729-W3729</f>
        <v>90.539999999999992</v>
      </c>
      <c r="AL3729" s="5">
        <f>(T3729-W3729)/T3729</f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>(T3730-W3730)/T3730</f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>AJ3730</f>
        <v>0</v>
      </c>
      <c r="AJ3730" s="2">
        <f>AI3730*T3730</f>
        <v>0</v>
      </c>
      <c r="AK3730" s="2">
        <f>T3730-W3730</f>
        <v>91.699999999999989</v>
      </c>
      <c r="AL3730" s="5">
        <f>(T3730-W3730)/T3730</f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>(T3731-W3731)/T3731</f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>AJ3731</f>
        <v>0</v>
      </c>
      <c r="AG3731" s="2">
        <v>105.59</v>
      </c>
      <c r="AJ3731" s="2">
        <f>AI3731*T3731</f>
        <v>0</v>
      </c>
      <c r="AK3731" s="2">
        <f>T3731-W3731</f>
        <v>78.544999999999987</v>
      </c>
      <c r="AL3731" s="5">
        <f>(T3731-W3731)/T3731</f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>(T3732-W3732)/T3732</f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>AJ3732</f>
        <v>0</v>
      </c>
      <c r="AG3732" s="2">
        <v>119.33</v>
      </c>
      <c r="AH3732" s="2">
        <v>220</v>
      </c>
      <c r="AJ3732" s="2">
        <f>AI3732*T3732</f>
        <v>0</v>
      </c>
      <c r="AK3732" s="2">
        <f>T3732-W3732</f>
        <v>100.67</v>
      </c>
      <c r="AL3732" s="5">
        <f>(T3732-W3732)/T3732</f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>(T3733-W3733)/T3733</f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>AJ3733</f>
        <v>0</v>
      </c>
      <c r="AG3733" s="2">
        <v>113.33</v>
      </c>
      <c r="AH3733" s="2">
        <v>220</v>
      </c>
      <c r="AJ3733" s="2">
        <f>AI3733*T3733</f>
        <v>0</v>
      </c>
      <c r="AK3733" s="2">
        <f>T3733-W3733</f>
        <v>106.67</v>
      </c>
      <c r="AL3733" s="5">
        <f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>(T3734-W3734)/T3734</f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>AJ3734</f>
        <v>0</v>
      </c>
      <c r="AG3734" s="2">
        <v>113.33</v>
      </c>
      <c r="AH3734" s="2">
        <v>220</v>
      </c>
      <c r="AJ3734" s="2">
        <f>AI3734*T3734</f>
        <v>0</v>
      </c>
      <c r="AK3734" s="2">
        <f>T3734-W3734</f>
        <v>89.070000000000007</v>
      </c>
      <c r="AL3734" s="5">
        <f>(T3734-W3734)/T3734</f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>(T3735-W3735)/T3735</f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>AJ3735</f>
        <v>0</v>
      </c>
      <c r="AG3735" s="2">
        <v>111.98</v>
      </c>
      <c r="AH3735" s="2">
        <v>210</v>
      </c>
      <c r="AJ3735" s="2">
        <f>AI3735*T3735</f>
        <v>0</v>
      </c>
      <c r="AK3735" s="2">
        <f>T3735-W3735</f>
        <v>108.02</v>
      </c>
      <c r="AL3735" s="5">
        <f>(T3735-W3735)/T3735</f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>(T3736-W3736)/T3736</f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>AJ3736</f>
        <v>0</v>
      </c>
      <c r="AG3736" s="2">
        <v>187.99</v>
      </c>
      <c r="AJ3736" s="2">
        <f>AI3736*T3736</f>
        <v>0</v>
      </c>
      <c r="AK3736" s="2">
        <f>T3736-W3736</f>
        <v>112.00999999999999</v>
      </c>
      <c r="AL3736" s="5">
        <f>(T3736-W3736)/T3736</f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>(T3737-W3737)/T3737</f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>AJ3737</f>
        <v>0</v>
      </c>
      <c r="AJ3737" s="2">
        <f>AI3737*T3737</f>
        <v>0</v>
      </c>
      <c r="AK3737" s="2">
        <f>T3737-W3737</f>
        <v>172.76</v>
      </c>
      <c r="AL3737" s="5">
        <f>(T3737-W3737)/T3737</f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>(T3738-W3738)/T3738</f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>AJ3738</f>
        <v>0</v>
      </c>
      <c r="AG3738" s="2">
        <v>141.16</v>
      </c>
      <c r="AJ3738" s="2">
        <f>AI3738*T3738</f>
        <v>0</v>
      </c>
      <c r="AK3738" s="2">
        <f>T3738-W3738</f>
        <v>72.240000000000009</v>
      </c>
      <c r="AL3738" s="5">
        <f>(T3738-W3738)/T3738</f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>(T3739-W3739)/T3739</f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>AJ3739</f>
        <v>0</v>
      </c>
      <c r="AG3739" s="2">
        <v>115</v>
      </c>
      <c r="AJ3739" s="2">
        <f>AI3739*T3739</f>
        <v>0</v>
      </c>
      <c r="AK3739" s="2">
        <f>T3739-W3739</f>
        <v>483</v>
      </c>
      <c r="AL3739" s="5">
        <f>(T3739-W3739)/T3739</f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>(T3740-W3740)/T3740</f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>AJ3740</f>
        <v>0</v>
      </c>
      <c r="AG3740" s="2">
        <v>115</v>
      </c>
      <c r="AJ3740" s="2">
        <f>AI3740*T3740</f>
        <v>0</v>
      </c>
      <c r="AK3740" s="2">
        <f>T3740-W3740</f>
        <v>105</v>
      </c>
      <c r="AL3740" s="5">
        <f>(T3740-W3740)/T3740</f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>(T3741-W3741)/T3741</f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>AJ3741</f>
        <v>0</v>
      </c>
      <c r="AJ3741" s="2">
        <f>AI3741*T3741</f>
        <v>0</v>
      </c>
      <c r="AK3741" s="2">
        <f>T3741-W3741</f>
        <v>179.38</v>
      </c>
      <c r="AL3741" s="5">
        <f>(T3741-W3741)/T3741</f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>(T3742-W3742)/T3742</f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>AJ3742</f>
        <v>0</v>
      </c>
      <c r="AG3742" s="2">
        <v>153.34</v>
      </c>
      <c r="AJ3742" s="2">
        <f>AI3742*T3742</f>
        <v>0</v>
      </c>
      <c r="AK3742" s="2">
        <f>T3742-W3742</f>
        <v>121.53999999999999</v>
      </c>
      <c r="AL3742" s="5">
        <f>(T3742-W3742)/T3742</f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>AJ3743</f>
        <v>0</v>
      </c>
      <c r="AJ3743" s="2">
        <f>AI3743*T3743</f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>AJ3744</f>
        <v>0</v>
      </c>
      <c r="AJ3744" s="2">
        <f>AI3744*T3744</f>
        <v>0</v>
      </c>
      <c r="AK3744" s="2">
        <f>T3744-W3744</f>
        <v>14</v>
      </c>
      <c r="AL3744" s="5">
        <f>(T3744-W3744)/T3744</f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>(T3745-W3745)/T3745</f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>AJ3745</f>
        <v>0</v>
      </c>
      <c r="AG3745" s="2">
        <v>10.6</v>
      </c>
      <c r="AH3745" s="2">
        <v>18</v>
      </c>
      <c r="AJ3745" s="2">
        <f>AI3745*T3745</f>
        <v>0</v>
      </c>
      <c r="AK3745" s="2">
        <f>T3745-W3745</f>
        <v>7.4</v>
      </c>
      <c r="AL3745" s="5">
        <f>(T3745-W3745)/T3745</f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>(T3746-W3746)/T3746</f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>AJ3746</f>
        <v>0</v>
      </c>
      <c r="AJ3746" s="2">
        <f>AI3746*T3746</f>
        <v>0</v>
      </c>
      <c r="AK3746" s="2">
        <f>T3746-W3746</f>
        <v>5.14</v>
      </c>
      <c r="AL3746" s="5">
        <f>(T3746-W3746)/T3746</f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>(T3747-W3747)/T3747</f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>AJ3747</f>
        <v>0</v>
      </c>
      <c r="AJ3747" s="2">
        <f>AI3747*T3747</f>
        <v>0</v>
      </c>
      <c r="AK3747" s="2">
        <f>T3747-W3747</f>
        <v>5.14</v>
      </c>
      <c r="AL3747" s="5">
        <f>(T3747-W3747)/T3747</f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>(T3748-W3748)/T3748</f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>AJ3748</f>
        <v>0</v>
      </c>
      <c r="AG3748" s="2">
        <v>2.94</v>
      </c>
      <c r="AJ3748" s="2">
        <f>AI3748*T3748</f>
        <v>0</v>
      </c>
      <c r="AK3748" s="2">
        <f>T3748-W3748</f>
        <v>6.12</v>
      </c>
      <c r="AL3748" s="5">
        <f>(T3748-W3748)/T3748</f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>(T3749-W3749)/T3749</f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>AJ3749</f>
        <v>0</v>
      </c>
      <c r="AJ3749" s="2">
        <f>AI3749*T3749</f>
        <v>0</v>
      </c>
      <c r="AK3749" s="2">
        <f>T3749-W3749</f>
        <v>9.66</v>
      </c>
      <c r="AL3749" s="5">
        <f>(T3749-W3749)/T3749</f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>(T3750-W3750)/T3750</f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>AJ3750</f>
        <v>0</v>
      </c>
      <c r="AJ3750" s="2">
        <f>AI3750*T3750</f>
        <v>0</v>
      </c>
      <c r="AK3750" s="2">
        <f>T3750-W3750</f>
        <v>8.4</v>
      </c>
      <c r="AL3750" s="5">
        <f>(T3750-W3750)/T3750</f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>(T3751-W3751)/T3751</f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>AJ3751</f>
        <v>0</v>
      </c>
      <c r="AG3751" s="2">
        <v>2.5051000000000001</v>
      </c>
      <c r="AJ3751" s="2">
        <f>AI3751*T3751</f>
        <v>0</v>
      </c>
      <c r="AK3751" s="2">
        <f>T3751-W3751</f>
        <v>4.6949000000000005</v>
      </c>
      <c r="AL3751" s="5">
        <f>(T3751-W3751)/T3751</f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>(T3752-W3752)/T3752</f>
        <v>0.80118253968253961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>AJ3752</f>
        <v>0</v>
      </c>
      <c r="AJ3752" s="2">
        <f>AI3752*T3752</f>
        <v>0</v>
      </c>
      <c r="AK3752" s="2">
        <f>T3752-W3752</f>
        <v>10.094899999999999</v>
      </c>
      <c r="AL3752" s="5">
        <f>(T3752-W3752)/T3752</f>
        <v>0.80118253968253961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>(T3753-W3753)/T3753</f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>AJ3753</f>
        <v>0</v>
      </c>
      <c r="AG3753" s="2">
        <v>149.25</v>
      </c>
      <c r="AJ3753" s="2">
        <f>AI3753*T3753</f>
        <v>0</v>
      </c>
      <c r="AK3753" s="2">
        <f>T3753-W3753</f>
        <v>49.75</v>
      </c>
      <c r="AL3753" s="5">
        <f>(T3753-W3753)/T3753</f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>(T3754-W3754)/T3754</f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>AJ3754</f>
        <v>0</v>
      </c>
      <c r="AJ3754" s="2">
        <f>AI3754*T3754</f>
        <v>0</v>
      </c>
      <c r="AK3754" s="2">
        <f>T3754-W3754</f>
        <v>304.87750000000005</v>
      </c>
      <c r="AL3754" s="5">
        <f>(T3754-W3754)/T3754</f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>(T3755-W3755)/T3755</f>
        <v>1</v>
      </c>
      <c r="Z3755" s="2" t="s">
        <v>118</v>
      </c>
      <c r="AA3755" s="2" t="s">
        <v>318</v>
      </c>
      <c r="AF3755" s="2">
        <f>AJ3755</f>
        <v>0</v>
      </c>
      <c r="AJ3755" s="2">
        <f>AI3755*T3755</f>
        <v>0</v>
      </c>
      <c r="AK3755" s="2">
        <f>T3755-W3755</f>
        <v>1099</v>
      </c>
      <c r="AL3755" s="5">
        <f>(T3755-W3755)/T3755</f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>(T3756-W3756)/T3756</f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>AJ3756</f>
        <v>0</v>
      </c>
      <c r="AG3756" s="2">
        <f>W3756</f>
        <v>27.5</v>
      </c>
      <c r="AJ3756" s="2">
        <f>AI3756*T3756</f>
        <v>0</v>
      </c>
      <c r="AK3756" s="2">
        <f>T3756-W3756</f>
        <v>27.5</v>
      </c>
      <c r="AL3756" s="5">
        <f>(T3756-W3756)/T3756</f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>(T3757-W3757)/T3757</f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>AJ3757</f>
        <v>0</v>
      </c>
      <c r="AG3757" s="2">
        <f>W3757</f>
        <v>25.200000000000003</v>
      </c>
      <c r="AJ3757" s="2">
        <f>AI3757*T3757</f>
        <v>0</v>
      </c>
      <c r="AK3757" s="2">
        <f>T3757-W3757</f>
        <v>37.799999999999997</v>
      </c>
      <c r="AL3757" s="5">
        <f>(T3757-W3757)/T3757</f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>(T3758-W3758)/T3758</f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>AJ3758</f>
        <v>0</v>
      </c>
      <c r="AG3758" s="2">
        <v>8.1999999999999993</v>
      </c>
      <c r="AH3758" s="2">
        <v>13</v>
      </c>
      <c r="AJ3758" s="2">
        <f>AI3758*T3758</f>
        <v>0</v>
      </c>
      <c r="AK3758" s="2">
        <f>T3758-W3758</f>
        <v>9.5999999999999979</v>
      </c>
      <c r="AL3758" s="5">
        <f>(T3758-W3758)/T3758</f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>(T3759-W3759)/T3759</f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>AJ3759</f>
        <v>0</v>
      </c>
      <c r="AG3759" s="2">
        <f>W3759</f>
        <v>34.375</v>
      </c>
      <c r="AJ3759" s="2">
        <f>AI3759*T3759</f>
        <v>0</v>
      </c>
      <c r="AK3759" s="2">
        <f>T3759-W3759</f>
        <v>34.375</v>
      </c>
      <c r="AL3759" s="5">
        <f>(T3759-W3759)/T3759</f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>(T3760-W3760)/T3760</f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>AJ3760</f>
        <v>0</v>
      </c>
      <c r="AG3760" s="2">
        <f>W3760</f>
        <v>20</v>
      </c>
      <c r="AJ3760" s="2">
        <f>AI3760*T3760</f>
        <v>0</v>
      </c>
      <c r="AK3760" s="2">
        <f>T3760-W3760</f>
        <v>30</v>
      </c>
      <c r="AL3760" s="5">
        <f>(T3760-W3760)/T3760</f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>(T3761-W3761)/T3761</f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>AJ3761</f>
        <v>0</v>
      </c>
      <c r="AG3761" s="2">
        <f>W3761</f>
        <v>25</v>
      </c>
      <c r="AJ3761" s="2">
        <f>AI3761*T3761</f>
        <v>0</v>
      </c>
      <c r="AK3761" s="2">
        <f>T3761-W3761</f>
        <v>25</v>
      </c>
      <c r="AL3761" s="5">
        <f>(T3761-W3761)/T3761</f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>(T3762-W3762)/T3762</f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>AJ3762</f>
        <v>0</v>
      </c>
      <c r="AG3762" s="2">
        <f>W3762</f>
        <v>45.6</v>
      </c>
      <c r="AJ3762" s="2">
        <f>AI3762*T3762</f>
        <v>0</v>
      </c>
      <c r="AK3762" s="2">
        <f>T3762-W3762</f>
        <v>68.400000000000006</v>
      </c>
      <c r="AL3762" s="5">
        <f>(T3762-W3762)/T3762</f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>(T3763-W3763)/T3763</f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>AJ3763</f>
        <v>0</v>
      </c>
      <c r="AG3763" s="2">
        <f>W3763</f>
        <v>100</v>
      </c>
      <c r="AJ3763" s="2">
        <f>AI3763*T3763</f>
        <v>0</v>
      </c>
      <c r="AK3763" s="2">
        <f>T3763-W3763</f>
        <v>100</v>
      </c>
      <c r="AL3763" s="5">
        <f>(T3763-W3763)/T3763</f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>(T3764-W3764)/T3764</f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>AJ3764</f>
        <v>0</v>
      </c>
      <c r="AG3764" s="2">
        <f>W3764</f>
        <v>58.800000000000004</v>
      </c>
      <c r="AJ3764" s="2">
        <f>AI3764*T3764</f>
        <v>0</v>
      </c>
      <c r="AK3764" s="2">
        <f>T3764-W3764</f>
        <v>88.199999999999989</v>
      </c>
      <c r="AL3764" s="5">
        <f>(T3764-W3764)/T3764</f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>(T3765-W3765)/T3765</f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>AJ3765</f>
        <v>0</v>
      </c>
      <c r="AG3765" s="2">
        <f>W3765</f>
        <v>34.375</v>
      </c>
      <c r="AJ3765" s="2">
        <f>AI3765*T3765</f>
        <v>0</v>
      </c>
      <c r="AK3765" s="2">
        <f>T3765-W3765</f>
        <v>34.375</v>
      </c>
      <c r="AL3765" s="5">
        <f>(T3765-W3765)/T3765</f>
        <v>0.5</v>
      </c>
    </row>
    <row r="3766" spans="1:38" x14ac:dyDescent="0.2">
      <c r="A3766" s="2">
        <v>2026</v>
      </c>
      <c r="B3766" s="2">
        <v>4</v>
      </c>
      <c r="C3766" s="2" t="s">
        <v>3450</v>
      </c>
      <c r="D3766" s="2" t="s">
        <v>2908</v>
      </c>
      <c r="F3766" s="2" t="s">
        <v>3449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>(T3766-W3766)/T3766</f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>AJ3766</f>
        <v>0</v>
      </c>
      <c r="AG3766" s="2">
        <f>W3766</f>
        <v>31.45</v>
      </c>
      <c r="AJ3766" s="2">
        <f>AI3766*T3766</f>
        <v>0</v>
      </c>
      <c r="AK3766" s="2">
        <f>T3766-W3766</f>
        <v>31.45</v>
      </c>
      <c r="AL3766" s="5">
        <f>(T3766-W3766)/T3766</f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>AJ3767</f>
        <v>0</v>
      </c>
      <c r="AG3767" s="2">
        <f>W3767</f>
        <v>0</v>
      </c>
      <c r="AJ3767" s="2">
        <f>AI3767*T3767</f>
        <v>0</v>
      </c>
      <c r="AK3767" s="2">
        <f>T3767-W3767</f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>AJ3768</f>
        <v>0</v>
      </c>
      <c r="AG3768" s="2">
        <f>W3768</f>
        <v>27.5</v>
      </c>
      <c r="AJ3768" s="2">
        <f>AI3768*T3768</f>
        <v>0</v>
      </c>
      <c r="AK3768" s="2">
        <f>T3768-W3768</f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>AJ3769</f>
        <v>0</v>
      </c>
      <c r="AG3769" s="2">
        <f>W3769</f>
        <v>65.600000000000009</v>
      </c>
      <c r="AJ3769" s="2">
        <f>AI3769*T3769</f>
        <v>0</v>
      </c>
      <c r="AK3769" s="2">
        <f>T3769-W3769</f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>AJ3770</f>
        <v>0</v>
      </c>
      <c r="AG3770" s="2">
        <f>W3770</f>
        <v>41.25</v>
      </c>
      <c r="AJ3770" s="2">
        <f>AI3770*T3770</f>
        <v>0</v>
      </c>
      <c r="AK3770" s="2">
        <f>T3770-W3770</f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>AJ3771</f>
        <v>0</v>
      </c>
      <c r="AG3771" s="2">
        <f>W3771</f>
        <v>0</v>
      </c>
      <c r="AJ3771" s="2">
        <f>AI3771*T3771</f>
        <v>0</v>
      </c>
      <c r="AK3771" s="2">
        <f>T3771-W3771</f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>AJ3772</f>
        <v>0</v>
      </c>
      <c r="AG3772" s="2">
        <f>W3772</f>
        <v>0</v>
      </c>
      <c r="AJ3772" s="2">
        <f>AI3772*T3772</f>
        <v>0</v>
      </c>
      <c r="AK3772" s="2">
        <f>T3772-W3772</f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>AJ3773</f>
        <v>0</v>
      </c>
      <c r="AG3773" s="2">
        <f>W3773</f>
        <v>60.400000000000006</v>
      </c>
      <c r="AJ3773" s="2">
        <f>AI3773*T3773</f>
        <v>0</v>
      </c>
      <c r="AK3773" s="2">
        <f>T3773-W3773</f>
        <v>90.6</v>
      </c>
      <c r="AL3773" s="5">
        <f>(T3773-W3773)/T3773</f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>(T3774-W3774)/T3774</f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>AJ3774</f>
        <v>0</v>
      </c>
      <c r="AG3774" s="2">
        <f>W3774</f>
        <v>82.5</v>
      </c>
      <c r="AJ3774" s="2">
        <f>AI3774*T3774</f>
        <v>0</v>
      </c>
      <c r="AK3774" s="2">
        <f>T3774-W3774</f>
        <v>82.5</v>
      </c>
      <c r="AL3774" s="5">
        <f>(T3774-W3774)/T3774</f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>(T3775-W3775)/T3775</f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>AJ3775</f>
        <v>0</v>
      </c>
      <c r="AG3775" s="2">
        <f>W3775</f>
        <v>20</v>
      </c>
      <c r="AJ3775" s="2">
        <f>AI3775*T3775</f>
        <v>0</v>
      </c>
      <c r="AK3775" s="2">
        <f>T3775-W3775</f>
        <v>30</v>
      </c>
      <c r="AL3775" s="5">
        <f>(T3775-W3775)/T3775</f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>(T3776-W3776)/T3776</f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>AJ3776</f>
        <v>0</v>
      </c>
      <c r="AG3776" s="2">
        <f>W3776</f>
        <v>25</v>
      </c>
      <c r="AJ3776" s="2">
        <f>AI3776*T3776</f>
        <v>0</v>
      </c>
      <c r="AK3776" s="2">
        <f>T3776-W3776</f>
        <v>25</v>
      </c>
      <c r="AL3776" s="5">
        <f>(T3776-W3776)/T3776</f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>(T3777-W3777)/T3777</f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>AJ3777</f>
        <v>0</v>
      </c>
      <c r="AG3777" s="2">
        <f>W3777</f>
        <v>22</v>
      </c>
      <c r="AJ3777" s="2">
        <f>AI3777*T3777</f>
        <v>0</v>
      </c>
      <c r="AK3777" s="2">
        <f>T3777-W3777</f>
        <v>33</v>
      </c>
      <c r="AL3777" s="5">
        <f>(T3777-W3777)/T3777</f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>(T3778-W3778)/T3778</f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>AJ3778</f>
        <v>0</v>
      </c>
      <c r="AG3778" s="2">
        <f>W3778</f>
        <v>50</v>
      </c>
      <c r="AJ3778" s="2">
        <f>AI3778*T3778</f>
        <v>0</v>
      </c>
      <c r="AK3778" s="2">
        <f>T3778-W3778</f>
        <v>50</v>
      </c>
      <c r="AL3778" s="5">
        <f>(T3778-W3778)/T3778</f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>AJ3779</f>
        <v>0</v>
      </c>
      <c r="AG3779" s="2">
        <f>W3779</f>
        <v>0</v>
      </c>
      <c r="AJ3779" s="2">
        <f>AI3779*T3779</f>
        <v>0</v>
      </c>
      <c r="AK3779" s="2">
        <f>T3779-W3779</f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>AJ3780</f>
        <v>0</v>
      </c>
      <c r="AG3780" s="2">
        <f>W3780</f>
        <v>0</v>
      </c>
      <c r="AJ3780" s="2">
        <f>AI3780*T3780</f>
        <v>0</v>
      </c>
      <c r="AK3780" s="2">
        <f>T3780-W3780</f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>AJ3781</f>
        <v>0</v>
      </c>
      <c r="AG3781" s="2">
        <f>W3781</f>
        <v>20</v>
      </c>
      <c r="AJ3781" s="2">
        <f>AI3781*T3781</f>
        <v>0</v>
      </c>
      <c r="AK3781" s="2">
        <f>T3781-W3781</f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>AJ3782</f>
        <v>0</v>
      </c>
      <c r="AG3782" s="2">
        <f>W3782</f>
        <v>25</v>
      </c>
      <c r="AJ3782" s="2">
        <f>AI3782*T3782</f>
        <v>0</v>
      </c>
      <c r="AK3782" s="2">
        <f>T3782-W3782</f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>AJ3783</f>
        <v>0</v>
      </c>
      <c r="AG3783" s="2">
        <f>W3783</f>
        <v>-20</v>
      </c>
      <c r="AJ3783" s="2">
        <f>AI3783*T3783</f>
        <v>0</v>
      </c>
      <c r="AK3783" s="2">
        <f>T3783-W3783</f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>(T3784-W3784)/T3784</f>
        <v>1</v>
      </c>
      <c r="Z3784" s="2" t="s">
        <v>170</v>
      </c>
      <c r="AA3784" s="2" t="s">
        <v>170</v>
      </c>
      <c r="AF3784" s="2">
        <f>AJ3784</f>
        <v>0</v>
      </c>
      <c r="AJ3784" s="2">
        <f>AI3784*T3784</f>
        <v>0</v>
      </c>
      <c r="AK3784" s="2">
        <f>T3784-W3784</f>
        <v>8</v>
      </c>
      <c r="AL3784" s="5">
        <f>(T3784-W3784)/T3784</f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>AJ3785</f>
        <v>0</v>
      </c>
      <c r="AG3785" s="2">
        <f>W3785</f>
        <v>0</v>
      </c>
      <c r="AJ3785" s="2">
        <f>AI3785*T3785</f>
        <v>0</v>
      </c>
      <c r="AK3785" s="2">
        <f>T3785-W3785</f>
        <v>-50</v>
      </c>
      <c r="AL3785" s="5">
        <f>(T3785-W3785)/T3785</f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>(T3786-W3786)/T3786</f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>AJ3786</f>
        <v>0</v>
      </c>
      <c r="AG3786" s="2">
        <f>W3786</f>
        <v>20</v>
      </c>
      <c r="AJ3786" s="2">
        <f>AI3786*T3786</f>
        <v>0</v>
      </c>
      <c r="AK3786" s="2">
        <f>T3786-W3786</f>
        <v>30</v>
      </c>
      <c r="AL3786" s="5">
        <f>(T3786-W3786)/T3786</f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>(T3787-W3787)/T3787</f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>AJ3787</f>
        <v>0</v>
      </c>
      <c r="AG3787" s="2">
        <f>W3787</f>
        <v>25</v>
      </c>
      <c r="AJ3787" s="2">
        <f>AI3787*T3787</f>
        <v>0</v>
      </c>
      <c r="AK3787" s="2">
        <f>T3787-W3787</f>
        <v>25</v>
      </c>
      <c r="AL3787" s="5">
        <f>(T3787-W3787)/T3787</f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>(T3788-W3788)/T3788</f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>AJ3788</f>
        <v>0</v>
      </c>
      <c r="AG3788" s="2">
        <f>W3788</f>
        <v>22</v>
      </c>
      <c r="AJ3788" s="2">
        <f>AI3788*T3788</f>
        <v>0</v>
      </c>
      <c r="AK3788" s="2">
        <f>T3788-W3788</f>
        <v>33</v>
      </c>
      <c r="AL3788" s="5">
        <f>(T3788-W3788)/T3788</f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>(T3789-W3789)/T3789</f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>AJ3789</f>
        <v>0</v>
      </c>
      <c r="AG3789" s="2">
        <f>W3789</f>
        <v>27.5</v>
      </c>
      <c r="AJ3789" s="2">
        <f>AI3789*T3789</f>
        <v>0</v>
      </c>
      <c r="AK3789" s="2">
        <f>T3789-W3789</f>
        <v>27.5</v>
      </c>
      <c r="AL3789" s="5">
        <f>(T3789-W3789)/T3789</f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>(T3790-W3790)/T3790</f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>AJ3790</f>
        <v>0</v>
      </c>
      <c r="AG3790" s="2">
        <f>W3790</f>
        <v>33.200000000000003</v>
      </c>
      <c r="AJ3790" s="2">
        <f>AI3790*T3790</f>
        <v>0</v>
      </c>
      <c r="AK3790" s="2">
        <f>T3790-W3790</f>
        <v>49.8</v>
      </c>
      <c r="AL3790" s="5">
        <f>(T3790-W3790)/T3790</f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>(T3791-W3791)/T3791</f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>AJ3791</f>
        <v>0</v>
      </c>
      <c r="AG3791" s="2">
        <f>W3791</f>
        <v>20.625</v>
      </c>
      <c r="AJ3791" s="2">
        <f>AI3791*T3791</f>
        <v>0</v>
      </c>
      <c r="AK3791" s="2">
        <f>T3791-W3791</f>
        <v>20.625</v>
      </c>
      <c r="AL3791" s="5">
        <f>(T3791-W3791)/T3791</f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>(T3792-W3792)/T3792</f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>AJ3792</f>
        <v>0</v>
      </c>
      <c r="AG3792" s="2">
        <f>W3792</f>
        <v>25.200000000000003</v>
      </c>
      <c r="AJ3792" s="2">
        <f>AI3792*T3792</f>
        <v>0</v>
      </c>
      <c r="AK3792" s="2">
        <f>T3792-W3792</f>
        <v>37.799999999999997</v>
      </c>
      <c r="AL3792" s="5">
        <f>(T3792-W3792)/T3792</f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>AJ3793</f>
        <v>0</v>
      </c>
      <c r="AG3793" s="2">
        <f>W3793</f>
        <v>0</v>
      </c>
      <c r="AJ3793" s="2">
        <f>AI3793*T3793</f>
        <v>0</v>
      </c>
      <c r="AK3793" s="2">
        <f>T3793-W3793</f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>AJ3794</f>
        <v>0</v>
      </c>
      <c r="AG3794" s="2">
        <f>W3794</f>
        <v>228.8</v>
      </c>
      <c r="AJ3794" s="2">
        <f>AI3794*T3794</f>
        <v>0</v>
      </c>
      <c r="AK3794" s="2">
        <f>T3794-W3794</f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>AJ3795</f>
        <v>0</v>
      </c>
      <c r="AG3795" s="2">
        <f>W3795</f>
        <v>50</v>
      </c>
      <c r="AJ3795" s="2">
        <f>AI3795*T3795</f>
        <v>0</v>
      </c>
      <c r="AK3795" s="2">
        <f>T3795-W3795</f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>AJ3796</f>
        <v>0</v>
      </c>
      <c r="AG3796" s="2">
        <f>W3796</f>
        <v>-114.4</v>
      </c>
      <c r="AJ3796" s="2">
        <f>AI3796*T3796</f>
        <v>0</v>
      </c>
      <c r="AK3796" s="2">
        <f>T3796-W3796</f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>AJ3797</f>
        <v>0</v>
      </c>
      <c r="AG3797" s="2">
        <f>W3797</f>
        <v>0</v>
      </c>
      <c r="AJ3797" s="2">
        <f>AI3797*T3797</f>
        <v>0</v>
      </c>
      <c r="AK3797" s="2">
        <f>T3797-W3797</f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>(T3798-W3798)/T3798</f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>AJ3798</f>
        <v>0</v>
      </c>
      <c r="AG3798" s="2">
        <f>W3798</f>
        <v>71.2</v>
      </c>
      <c r="AJ3798" s="2">
        <f>AI3798*T3798</f>
        <v>0</v>
      </c>
      <c r="AK3798" s="2">
        <f>T3798-W3798</f>
        <v>106.8</v>
      </c>
      <c r="AL3798" s="5">
        <f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>(T3799-W3799)/T3799</f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>AJ3799</f>
        <v>0</v>
      </c>
      <c r="AG3799" s="2">
        <f>W3799</f>
        <v>41.25</v>
      </c>
      <c r="AJ3799" s="2">
        <f>AI3799*T3799</f>
        <v>0</v>
      </c>
      <c r="AK3799" s="2">
        <f>T3799-W3799</f>
        <v>41.25</v>
      </c>
      <c r="AL3799" s="5">
        <f>(T3799-W3799)/T3799</f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>(T3800-W3800)/T3800</f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>AJ3800</f>
        <v>0</v>
      </c>
      <c r="AG3800" s="2">
        <f>W3800</f>
        <v>22</v>
      </c>
      <c r="AJ3800" s="2">
        <f>AI3800*T3800</f>
        <v>0</v>
      </c>
      <c r="AK3800" s="2">
        <f>T3800-W3800</f>
        <v>33</v>
      </c>
      <c r="AL3800" s="5">
        <f>(T3800-W3800)/T3800</f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>(T3801-W3801)/T3801</f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>AJ3801</f>
        <v>0</v>
      </c>
      <c r="AG3801" s="2">
        <f>W3801</f>
        <v>27.5</v>
      </c>
      <c r="AJ3801" s="2">
        <f>AI3801*T3801</f>
        <v>0</v>
      </c>
      <c r="AK3801" s="2">
        <f>T3801-W3801</f>
        <v>27.5</v>
      </c>
      <c r="AL3801" s="5">
        <f>(T3801-W3801)/T3801</f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>(T3802-W3802)/T3802</f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>AJ3802</f>
        <v>0</v>
      </c>
      <c r="AG3802" s="2">
        <f>W3802</f>
        <v>31.6</v>
      </c>
      <c r="AJ3802" s="2">
        <f>AI3802*T3802</f>
        <v>0</v>
      </c>
      <c r="AK3802" s="2">
        <f>T3802-W3802</f>
        <v>47.4</v>
      </c>
      <c r="AL3802" s="5">
        <f>(T3802-W3802)/T3802</f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>(T3803-W3803)/T3803</f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>AJ3803</f>
        <v>0</v>
      </c>
      <c r="AG3803" s="2">
        <f>W3803</f>
        <v>50</v>
      </c>
      <c r="AJ3803" s="2">
        <f>AI3803*T3803</f>
        <v>0</v>
      </c>
      <c r="AK3803" s="2">
        <f>T3803-W3803</f>
        <v>50</v>
      </c>
      <c r="AL3803" s="5">
        <f>(T3803-W3803)/T3803</f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>(T3804-W3804)/T3804</f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>AJ3804</f>
        <v>0</v>
      </c>
      <c r="AG3804" s="2">
        <f>W3804</f>
        <v>33.200000000000003</v>
      </c>
      <c r="AJ3804" s="2">
        <f>AI3804*T3804</f>
        <v>0</v>
      </c>
      <c r="AK3804" s="2">
        <f>T3804-W3804</f>
        <v>49.8</v>
      </c>
      <c r="AL3804" s="5">
        <f>(T3804-W3804)/T3804</f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>(T3805-W3805)/T3805</f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>AJ3805</f>
        <v>0</v>
      </c>
      <c r="AG3805" s="2">
        <f>W3805</f>
        <v>27.5</v>
      </c>
      <c r="AJ3805" s="2">
        <f>AI3805*T3805</f>
        <v>0</v>
      </c>
      <c r="AK3805" s="2">
        <f>T3805-W3805</f>
        <v>27.5</v>
      </c>
      <c r="AL3805" s="5">
        <f>(T3805-W3805)/T3805</f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>(T3806-W3806)/T3806</f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>AJ3806</f>
        <v>0</v>
      </c>
      <c r="AG3806" s="2">
        <f>W3806</f>
        <v>24.400000000000002</v>
      </c>
      <c r="AJ3806" s="2">
        <f>AI3806*T3806</f>
        <v>0</v>
      </c>
      <c r="AK3806" s="2">
        <f>T3806-W3806</f>
        <v>36.599999999999994</v>
      </c>
      <c r="AL3806" s="5">
        <f>(T3806-W3806)/T3806</f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>(T3807-W3807)/T3807</f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>AJ3807</f>
        <v>0</v>
      </c>
      <c r="AG3807" s="2">
        <f>W3807</f>
        <v>27.5</v>
      </c>
      <c r="AJ3807" s="2">
        <f>AI3807*T3807</f>
        <v>0</v>
      </c>
      <c r="AK3807" s="2">
        <f>T3807-W3807</f>
        <v>27.5</v>
      </c>
      <c r="AL3807" s="5">
        <f>(T3807-W3807)/T3807</f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>(T3808-W3808)/T3808</f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>AJ3808</f>
        <v>0</v>
      </c>
      <c r="AG3808" s="2">
        <f>W3808</f>
        <v>26.8</v>
      </c>
      <c r="AJ3808" s="2">
        <f>AI3808*T3808</f>
        <v>0</v>
      </c>
      <c r="AK3808" s="2">
        <f>T3808-W3808</f>
        <v>40.200000000000003</v>
      </c>
      <c r="AL3808" s="5">
        <f>(T3808-W3808)/T3808</f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>(T3809-W3809)/T3809</f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>AJ3809</f>
        <v>0</v>
      </c>
      <c r="AG3809" s="2">
        <f>W3809</f>
        <v>27.5</v>
      </c>
      <c r="AJ3809" s="2">
        <f>AI3809*T3809</f>
        <v>0</v>
      </c>
      <c r="AK3809" s="2">
        <f>T3809-W3809</f>
        <v>27.5</v>
      </c>
      <c r="AL3809" s="5">
        <f>(T3809-W3809)/T3809</f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>(T3810-W3810)/T3810</f>
        <v>1</v>
      </c>
      <c r="Z3810" s="2" t="s">
        <v>170</v>
      </c>
      <c r="AA3810" s="2" t="s">
        <v>170</v>
      </c>
      <c r="AF3810" s="2">
        <f>AJ3810</f>
        <v>0</v>
      </c>
      <c r="AJ3810" s="2">
        <f>AI3810*T3810</f>
        <v>0</v>
      </c>
      <c r="AK3810" s="2">
        <f>T3810-W3810</f>
        <v>120</v>
      </c>
      <c r="AL3810" s="5">
        <f>(T3810-W3810)/T3810</f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>(T3811-W3811)/T3811</f>
        <v>1</v>
      </c>
      <c r="Z3811" s="2" t="s">
        <v>170</v>
      </c>
      <c r="AA3811" s="2" t="s">
        <v>170</v>
      </c>
      <c r="AF3811" s="2">
        <f>AJ3811</f>
        <v>0</v>
      </c>
      <c r="AJ3811" s="2">
        <f>AI3811*T3811</f>
        <v>0</v>
      </c>
      <c r="AK3811" s="2">
        <f>T3811-W3811</f>
        <v>5</v>
      </c>
      <c r="AL3811" s="5">
        <f>(T3811-W3811)/T3811</f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>(T3812-W3812)/T3812</f>
        <v>1</v>
      </c>
      <c r="Z3812" s="2" t="s">
        <v>170</v>
      </c>
      <c r="AA3812" s="2" t="s">
        <v>170</v>
      </c>
      <c r="AF3812" s="2">
        <f>AJ3812</f>
        <v>0</v>
      </c>
      <c r="AJ3812" s="2">
        <f>AI3812*T3812</f>
        <v>0</v>
      </c>
      <c r="AK3812" s="2">
        <f>T3812-W3812</f>
        <v>5</v>
      </c>
      <c r="AL3812" s="5">
        <f>(T3812-W3812)/T3812</f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>(T3813-W3813)/T3813</f>
        <v>0.23333333333333334</v>
      </c>
      <c r="Z3813" s="2" t="s">
        <v>170</v>
      </c>
      <c r="AA3813" s="2" t="s">
        <v>170</v>
      </c>
      <c r="AF3813" s="2">
        <f>AJ3813</f>
        <v>0</v>
      </c>
      <c r="AJ3813" s="2">
        <f>AI3813*T3813</f>
        <v>0</v>
      </c>
      <c r="AK3813" s="2">
        <f>T3813-W3813</f>
        <v>7</v>
      </c>
      <c r="AL3813" s="5">
        <f>(T3813-W3813)/T3813</f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>(T3814-W3814)/T3814</f>
        <v>1</v>
      </c>
      <c r="Z3814" s="2" t="s">
        <v>170</v>
      </c>
      <c r="AA3814" s="2" t="s">
        <v>170</v>
      </c>
      <c r="AF3814" s="2">
        <f>AJ3814</f>
        <v>0</v>
      </c>
      <c r="AJ3814" s="2">
        <f>AI3814*T3814</f>
        <v>0</v>
      </c>
      <c r="AK3814" s="2">
        <f>T3814-W3814</f>
        <v>8</v>
      </c>
      <c r="AL3814" s="5">
        <f>(T3814-W3814)/T3814</f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>(T3815-W3815)/T3815</f>
        <v>1</v>
      </c>
      <c r="Z3815" s="2" t="s">
        <v>170</v>
      </c>
      <c r="AA3815" s="2" t="s">
        <v>170</v>
      </c>
      <c r="AF3815" s="2">
        <f>AJ3815</f>
        <v>0</v>
      </c>
      <c r="AJ3815" s="2">
        <f>AI3815*T3815</f>
        <v>0</v>
      </c>
      <c r="AK3815" s="2">
        <f>T3815-W3815</f>
        <v>15</v>
      </c>
      <c r="AL3815" s="5">
        <f>(T3815-W3815)/T3815</f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>(T3816-W3816)/T3816</f>
        <v>0.23333333333333334</v>
      </c>
      <c r="Z3816" s="2" t="s">
        <v>170</v>
      </c>
      <c r="AA3816" s="2" t="s">
        <v>170</v>
      </c>
      <c r="AF3816" s="2">
        <f>AJ3816</f>
        <v>0</v>
      </c>
      <c r="AG3816" s="2">
        <v>23</v>
      </c>
      <c r="AJ3816" s="2">
        <f>AI3816*T3816</f>
        <v>0</v>
      </c>
      <c r="AK3816" s="2">
        <f>T3816-W3816</f>
        <v>7</v>
      </c>
      <c r="AL3816" s="5">
        <f>(T3816-W3816)/T3816</f>
        <v>0.23333333333333334</v>
      </c>
    </row>
    <row r="3817" spans="1:38" x14ac:dyDescent="0.2">
      <c r="A3817" s="2">
        <v>2026</v>
      </c>
      <c r="B3817" s="2">
        <v>4</v>
      </c>
      <c r="C3817" s="2" t="s">
        <v>3473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>AJ3817</f>
        <v>0</v>
      </c>
      <c r="AJ3817" s="2">
        <f>AI3817*T3817</f>
        <v>0</v>
      </c>
      <c r="AK3817" s="2">
        <f>T3817-W3817</f>
        <v>-231.07</v>
      </c>
      <c r="AL3817" s="5">
        <f>(T3817-W3817)/T3817</f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>(T3818-W3818)/T3818</f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>AJ3818</f>
        <v>0</v>
      </c>
      <c r="AJ3818" s="2">
        <f>AI3818*T3818</f>
        <v>0</v>
      </c>
      <c r="AK3818" s="2">
        <f>T3818-W3818</f>
        <v>0</v>
      </c>
      <c r="AL3818" s="5">
        <f>(T3818-W3818)/T3818</f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>(T3819-W3819)/T3819</f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>AJ3819</f>
        <v>0</v>
      </c>
      <c r="AG3819" s="2">
        <v>1.48</v>
      </c>
      <c r="AH3819" s="2">
        <v>1.48</v>
      </c>
      <c r="AJ3819" s="2">
        <f>AI3819*T3819</f>
        <v>0</v>
      </c>
      <c r="AK3819" s="2">
        <f>T3819-W3819</f>
        <v>0</v>
      </c>
      <c r="AL3819" s="5">
        <f>(T3819-W3819)/T3819</f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>(T3820-W3820)/T3820</f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>AJ3820</f>
        <v>0</v>
      </c>
      <c r="AJ3820" s="2">
        <f>AI3820*T3820</f>
        <v>0</v>
      </c>
      <c r="AK3820" s="2">
        <f>T3820-W3820</f>
        <v>0</v>
      </c>
      <c r="AL3820" s="5">
        <f>(T3820-W3820)/T3820</f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>(T3821-W3821)/T3821</f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>AJ3821</f>
        <v>0</v>
      </c>
      <c r="AJ3821" s="2">
        <f>AI3821*T3821</f>
        <v>0</v>
      </c>
      <c r="AK3821" s="2">
        <f>T3821-W3821</f>
        <v>0</v>
      </c>
      <c r="AL3821" s="5">
        <f>(T3821-W3821)/T3821</f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>(T3822-W3822)/T3822</f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>AJ3822</f>
        <v>0</v>
      </c>
      <c r="AJ3822" s="2">
        <f>AI3822*T3822</f>
        <v>0</v>
      </c>
      <c r="AK3822" s="2">
        <f>T3822-W3822</f>
        <v>0</v>
      </c>
      <c r="AL3822" s="5">
        <f>(T3822-W3822)/T3822</f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>(T3823-W3823)/T3823</f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>AJ3823</f>
        <v>0</v>
      </c>
      <c r="AG3823" s="2">
        <v>1.48</v>
      </c>
      <c r="AH3823" s="2">
        <v>1.48</v>
      </c>
      <c r="AJ3823" s="2">
        <f>AI3823*T3823</f>
        <v>0</v>
      </c>
      <c r="AK3823" s="2">
        <f>T3823-W3823</f>
        <v>0</v>
      </c>
      <c r="AL3823" s="5">
        <f>(T3823-W3823)/T3823</f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>(T3824-W3824)/T3824</f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>AJ3824</f>
        <v>0</v>
      </c>
      <c r="AJ3824" s="2">
        <f>AI3824*T3824</f>
        <v>0</v>
      </c>
      <c r="AK3824" s="2">
        <f>T3824-W3824</f>
        <v>0</v>
      </c>
      <c r="AL3824" s="5">
        <f>(T3824-W3824)/T3824</f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>(T3825-W3825)/T3825</f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>AJ3825</f>
        <v>0</v>
      </c>
      <c r="AG3825" s="2">
        <v>1.48</v>
      </c>
      <c r="AH3825" s="2">
        <v>1.48</v>
      </c>
      <c r="AJ3825" s="2">
        <f>AI3825*T3825</f>
        <v>0</v>
      </c>
      <c r="AK3825" s="2">
        <f>T3825-W3825</f>
        <v>0</v>
      </c>
      <c r="AL3825" s="5">
        <f>(T3825-W3825)/T3825</f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>AJ3826</f>
        <v>0</v>
      </c>
      <c r="AJ3826" s="2">
        <f>AI3826*T3826</f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>AJ3827</f>
        <v>0</v>
      </c>
      <c r="AJ3827" s="2">
        <f>AI3827*T3827</f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>AJ3828</f>
        <v>0</v>
      </c>
      <c r="AJ3828" s="2">
        <f>AI3828*T3828</f>
        <v>0</v>
      </c>
      <c r="AK3828" s="2">
        <f>T3828-W3828</f>
        <v>0</v>
      </c>
      <c r="AL3828" s="5">
        <f>(T3828-W3828)/T3828</f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>(T3829-W3829)/T3829</f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>AJ3829</f>
        <v>0</v>
      </c>
      <c r="AG3829" s="2">
        <v>1.48</v>
      </c>
      <c r="AH3829" s="2">
        <v>1.48</v>
      </c>
      <c r="AJ3829" s="2">
        <f>AI3829*T3829</f>
        <v>0</v>
      </c>
      <c r="AK3829" s="2">
        <f>T3829-W3829</f>
        <v>0</v>
      </c>
      <c r="AL3829" s="5">
        <f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>(T3830-W3830)/T3830</f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>AJ3830</f>
        <v>0</v>
      </c>
      <c r="AJ3830" s="2">
        <f>AI3830*T3830</f>
        <v>0</v>
      </c>
      <c r="AK3830" s="2">
        <f>T3830-W3830</f>
        <v>0</v>
      </c>
      <c r="AL3830" s="5">
        <f>(T3830-W3830)/T3830</f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>(T3831-W3831)/T3831</f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>AJ3831</f>
        <v>0</v>
      </c>
      <c r="AJ3831" s="2">
        <f>AI3831*T3831</f>
        <v>0</v>
      </c>
      <c r="AK3831" s="2">
        <f>T3831-W3831</f>
        <v>0</v>
      </c>
      <c r="AL3831" s="5">
        <f>(T3831-W3831)/T3831</f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>(T3832-W3832)/T3832</f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>AJ3832</f>
        <v>0</v>
      </c>
      <c r="AG3832" s="2">
        <v>1.48</v>
      </c>
      <c r="AH3832" s="2">
        <v>1.48</v>
      </c>
      <c r="AJ3832" s="2">
        <f>AI3832*T3832</f>
        <v>0</v>
      </c>
      <c r="AK3832" s="2">
        <f>T3832-W3832</f>
        <v>0</v>
      </c>
      <c r="AL3832" s="5">
        <f>(T3832-W3832)/T3832</f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>(T3833-W3833)/T3833</f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>AJ3833</f>
        <v>0</v>
      </c>
      <c r="AJ3833" s="2">
        <f>AI3833*T3833</f>
        <v>0</v>
      </c>
      <c r="AK3833" s="2">
        <f>T3833-W3833</f>
        <v>0</v>
      </c>
      <c r="AL3833" s="5">
        <f>(T3833-W3833)/T3833</f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>(T3834-W3834)/T3834</f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>AJ3834</f>
        <v>0</v>
      </c>
      <c r="AJ3834" s="2">
        <f>AI3834*T3834</f>
        <v>0</v>
      </c>
      <c r="AK3834" s="2">
        <f>T3834-W3834</f>
        <v>0</v>
      </c>
      <c r="AL3834" s="5">
        <f>(T3834-W3834)/T3834</f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>(T3835-W3835)/T3835</f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>AJ3835</f>
        <v>0</v>
      </c>
      <c r="AG3835" s="2">
        <v>1.48</v>
      </c>
      <c r="AH3835" s="2">
        <v>1.48</v>
      </c>
      <c r="AJ3835" s="2">
        <f>AI3835*T3835</f>
        <v>0</v>
      </c>
      <c r="AK3835" s="2">
        <f>T3835-W3835</f>
        <v>0</v>
      </c>
      <c r="AL3835" s="5">
        <f>(T3835-W3835)/T3835</f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>(T3836-W3836)/T3836</f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>AJ3836</f>
        <v>0</v>
      </c>
      <c r="AJ3836" s="2">
        <f>AI3836*T3836</f>
        <v>0</v>
      </c>
      <c r="AK3836" s="2">
        <f>T3836-W3836</f>
        <v>0</v>
      </c>
      <c r="AL3836" s="5">
        <f>(T3836-W3836)/T3836</f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>(T3837-W3837)/T3837</f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>AJ3837</f>
        <v>0</v>
      </c>
      <c r="AJ3837" s="2">
        <f>AI3837*T3837</f>
        <v>0</v>
      </c>
      <c r="AK3837" s="2">
        <f>T3837-W3837</f>
        <v>0</v>
      </c>
      <c r="AL3837" s="5">
        <f>(T3837-W3837)/T3837</f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>(T3838-W3838)/T3838</f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>AJ3838</f>
        <v>0</v>
      </c>
      <c r="AG3838" s="2">
        <v>1.48</v>
      </c>
      <c r="AH3838" s="2">
        <v>1.48</v>
      </c>
      <c r="AJ3838" s="2">
        <f>AI3838*T3838</f>
        <v>0</v>
      </c>
      <c r="AK3838" s="2">
        <f>T3838-W3838</f>
        <v>0</v>
      </c>
      <c r="AL3838" s="5">
        <f>(T3838-W3838)/T3838</f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>(T3839-W3839)/T3839</f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>AJ3839</f>
        <v>0</v>
      </c>
      <c r="AJ3839" s="2">
        <f>AI3839*T3839</f>
        <v>0</v>
      </c>
      <c r="AK3839" s="2">
        <f>T3839-W3839</f>
        <v>0</v>
      </c>
      <c r="AL3839" s="5">
        <f>(T3839-W3839)/T3839</f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>AJ3840</f>
        <v>0</v>
      </c>
      <c r="AJ3840" s="2">
        <f>AI3840*T3840</f>
        <v>0</v>
      </c>
      <c r="AK3840" s="2">
        <f>T3840-W3840</f>
        <v>0</v>
      </c>
      <c r="AL3840" s="5" t="e">
        <f>(T3840-W3840)/T3840</f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3384</v>
      </c>
      <c r="AF3841" s="2">
        <f>AJ3841</f>
        <v>0</v>
      </c>
      <c r="AJ3841" s="2">
        <f>AI3841*T3841</f>
        <v>0</v>
      </c>
      <c r="AK3841" s="2">
        <f>T3841-W3841</f>
        <v>72.37</v>
      </c>
      <c r="AL3841" s="5">
        <f>(T3841-W3841)/T3841</f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>AJ3842</f>
        <v>0</v>
      </c>
      <c r="AJ3842" s="2">
        <f>AI3842*T3842</f>
        <v>0</v>
      </c>
      <c r="AK3842" s="2">
        <f>T3842-W3842</f>
        <v>286.36</v>
      </c>
      <c r="AL3842" s="5">
        <f>(T3842-W3842)/T3842</f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3384</v>
      </c>
      <c r="AF3843" s="2">
        <f>AJ3843</f>
        <v>0</v>
      </c>
      <c r="AJ3843" s="2">
        <f>AI3843*T3843</f>
        <v>0</v>
      </c>
      <c r="AK3843" s="2">
        <f>T3843-W3843</f>
        <v>75.25</v>
      </c>
      <c r="AL3843" s="5">
        <f>(T3843-W3843)/T3843</f>
        <v>1</v>
      </c>
    </row>
    <row r="3844" spans="1:38" x14ac:dyDescent="0.2">
      <c r="A3844" s="2">
        <v>2026</v>
      </c>
      <c r="B3844" s="2">
        <v>5</v>
      </c>
      <c r="C3844" s="2" t="s">
        <v>3374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>AJ3844</f>
        <v>0</v>
      </c>
      <c r="AJ3844" s="2">
        <f>AI3844*T3844</f>
        <v>0</v>
      </c>
      <c r="AK3844" s="2">
        <f>T3844-W3844</f>
        <v>8.4</v>
      </c>
      <c r="AL3844" s="5">
        <f>(T3844-W3844)/T3844</f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>AJ3845</f>
        <v>0</v>
      </c>
      <c r="AG3845" s="2">
        <v>6.6266999999999996</v>
      </c>
      <c r="AH3845" s="2">
        <v>12</v>
      </c>
      <c r="AJ3845" s="2">
        <f>AI3845*T3845</f>
        <v>0</v>
      </c>
      <c r="AK3845" s="2">
        <f>T3845-W3845</f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>AJ3846</f>
        <v>0</v>
      </c>
      <c r="AG3846" s="2">
        <v>10.6</v>
      </c>
      <c r="AH3846" s="2">
        <v>18</v>
      </c>
      <c r="AJ3846" s="2">
        <f>AI3846*T3846</f>
        <v>0</v>
      </c>
      <c r="AK3846" s="2">
        <f>T3846-W3846</f>
        <v>17.5</v>
      </c>
      <c r="AL3846" s="5">
        <f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>(T3847-W3847)/T3847</f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>AJ3847</f>
        <v>0</v>
      </c>
      <c r="AG3847" s="2">
        <v>8.1999999999999993</v>
      </c>
      <c r="AH3847" s="2">
        <v>13</v>
      </c>
      <c r="AJ3847" s="2">
        <f>AI3847*T3847</f>
        <v>0</v>
      </c>
      <c r="AK3847" s="2">
        <f>T3847-W3847</f>
        <v>14.199999999999996</v>
      </c>
      <c r="AL3847" s="5">
        <f>(T3847-W3847)/T3847</f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>(T3848-W3848)/T3848</f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>AJ3848</f>
        <v>0</v>
      </c>
      <c r="AG3848" s="2">
        <v>0.85609999999999997</v>
      </c>
      <c r="AH3848" s="2">
        <v>1.8</v>
      </c>
      <c r="AJ3848" s="2">
        <f>AI3848*T3848</f>
        <v>0</v>
      </c>
      <c r="AK3848" s="2">
        <f>T3848-W3848</f>
        <v>18.878</v>
      </c>
      <c r="AL3848" s="5">
        <f>(T3848-W3848)/T3848</f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>(T3849-W3849)/T3849</f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>AJ3849</f>
        <v>0</v>
      </c>
      <c r="AG3849" s="2">
        <v>1.1122000000000001</v>
      </c>
      <c r="AH3849" s="2">
        <v>3</v>
      </c>
      <c r="AJ3849" s="2">
        <f>AI3849*T3849</f>
        <v>0</v>
      </c>
      <c r="AK3849" s="2">
        <f>T3849-W3849</f>
        <v>32.092599999999997</v>
      </c>
      <c r="AL3849" s="5">
        <f>(T3849-W3849)/T3849</f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>(T3850-W3850)/T3850</f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>AJ3850</f>
        <v>0</v>
      </c>
      <c r="AG3850" s="2">
        <v>15.020300000000001</v>
      </c>
      <c r="AH3850" s="2">
        <v>27.6</v>
      </c>
      <c r="AJ3850" s="2">
        <f>AI3850*T3850</f>
        <v>0</v>
      </c>
      <c r="AK3850" s="2">
        <f>T3850-W3850</f>
        <v>32.918799999999997</v>
      </c>
      <c r="AL3850" s="5">
        <f>(T3850-W3850)/T3850</f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>(T3851-W3851)/T3851</f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>AJ3851</f>
        <v>0</v>
      </c>
      <c r="AJ3851" s="2">
        <f>AI3851*T3851</f>
        <v>0</v>
      </c>
      <c r="AK3851" s="2">
        <f>T3851-W3851</f>
        <v>112.30999999999999</v>
      </c>
      <c r="AL3851" s="5">
        <f>(T3851-W3851)/T3851</f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>(T3852-W3852)/T3852</f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>AJ3852</f>
        <v>0</v>
      </c>
      <c r="AJ3852" s="2">
        <f>AI3852*T3852</f>
        <v>0</v>
      </c>
      <c r="AK3852" s="2">
        <f>T3852-W3852</f>
        <v>109.13499999999999</v>
      </c>
      <c r="AL3852" s="5">
        <f>(T3852-W3852)/T3852</f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>(T3853-W3853)/T3853</f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>AJ3853</f>
        <v>0</v>
      </c>
      <c r="AG3853" s="2">
        <v>122.446</v>
      </c>
      <c r="AH3853" s="2">
        <v>230</v>
      </c>
      <c r="AJ3853" s="2">
        <f>AI3853*T3853</f>
        <v>0</v>
      </c>
      <c r="AK3853" s="2">
        <f>T3853-W3853</f>
        <v>17.554000000000002</v>
      </c>
      <c r="AL3853" s="5">
        <f>(T3853-W3853)/T3853</f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>(T3854-W3854)/T3854</f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>AJ3854</f>
        <v>0</v>
      </c>
      <c r="AJ3854" s="2">
        <f>AI3854*T3854</f>
        <v>0</v>
      </c>
      <c r="AK3854" s="2">
        <f>T3854-W3854</f>
        <v>479.67</v>
      </c>
      <c r="AL3854" s="5">
        <f>(T3854-W3854)/T3854</f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>(T3855-W3855)/T3855</f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>AJ3855</f>
        <v>0</v>
      </c>
      <c r="AJ3855" s="2">
        <f>AI3855*T3855</f>
        <v>0</v>
      </c>
      <c r="AK3855" s="2">
        <f>T3855-W3855</f>
        <v>0</v>
      </c>
      <c r="AL3855" s="5">
        <f>(T3855-W3855)/T3855</f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>(T3856-W3856)/T3856</f>
        <v>1</v>
      </c>
      <c r="Z3856" s="2" t="s">
        <v>120</v>
      </c>
      <c r="AA3856" s="2" t="s">
        <v>2925</v>
      </c>
      <c r="AF3856" s="2">
        <f>AJ3856</f>
        <v>0</v>
      </c>
      <c r="AJ3856" s="2">
        <f>AI3856*T3856</f>
        <v>0</v>
      </c>
      <c r="AK3856" s="2">
        <f>T3856-W3856</f>
        <v>200</v>
      </c>
      <c r="AL3856" s="5">
        <f>(T3856-W3856)/T3856</f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>(T3857-W3857)/T3857</f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>AJ3857</f>
        <v>0</v>
      </c>
      <c r="AG3857" s="2">
        <v>10.6</v>
      </c>
      <c r="AH3857" s="2">
        <v>18</v>
      </c>
      <c r="AJ3857" s="2">
        <f>AI3857*T3857</f>
        <v>0</v>
      </c>
      <c r="AK3857" s="2">
        <f>T3857-W3857</f>
        <v>14.8</v>
      </c>
      <c r="AL3857" s="5">
        <f>(T3857-W3857)/T3857</f>
        <v>0.41111111111111115</v>
      </c>
    </row>
    <row r="3858" spans="1:38" x14ac:dyDescent="0.2">
      <c r="A3858" s="2">
        <v>2026</v>
      </c>
      <c r="B3858" s="2">
        <v>5</v>
      </c>
      <c r="C3858" s="2" t="s">
        <v>3374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>(T3858-W3858)/T3858</f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>AJ3858</f>
        <v>0</v>
      </c>
      <c r="AJ3858" s="2">
        <f>AI3858*T3858</f>
        <v>0</v>
      </c>
      <c r="AK3858" s="2">
        <f>T3858-W3858</f>
        <v>34.904200000000003</v>
      </c>
      <c r="AL3858" s="5">
        <f>(T3858-W3858)/T3858</f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>(T3859-W3859)/T3859</f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>AJ3859</f>
        <v>0</v>
      </c>
      <c r="AG3859" s="2">
        <v>73</v>
      </c>
      <c r="AJ3859" s="2">
        <f>AI3859*T3859</f>
        <v>0</v>
      </c>
      <c r="AK3859" s="2">
        <f>T3859-W3859</f>
        <v>46.900000000000006</v>
      </c>
      <c r="AL3859" s="5">
        <f>(T3859-W3859)/T3859</f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>(T3860-W3860)/T3860</f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>AJ3860</f>
        <v>0</v>
      </c>
      <c r="AG3860" s="2">
        <v>18.14</v>
      </c>
      <c r="AJ3860" s="2">
        <f>AI3860*T3860</f>
        <v>0</v>
      </c>
      <c r="AK3860" s="2">
        <f>T3860-W3860</f>
        <v>9.75</v>
      </c>
      <c r="AL3860" s="5">
        <f>(T3860-W3860)/T3860</f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>(T3861-W3861)/T3861</f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>AJ3861</f>
        <v>0</v>
      </c>
      <c r="AG3861" s="2">
        <v>5.23</v>
      </c>
      <c r="AH3861" s="2">
        <v>10.8</v>
      </c>
      <c r="AJ3861" s="2">
        <f>AI3861*T3861</f>
        <v>0</v>
      </c>
      <c r="AK3861" s="2">
        <f>T3861-W3861</f>
        <v>5.57</v>
      </c>
      <c r="AL3861" s="5">
        <f>(T3861-W3861)/T3861</f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>(T3862-W3862)/T3862</f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>AJ3862</f>
        <v>0</v>
      </c>
      <c r="AG3862" s="2">
        <v>0.97</v>
      </c>
      <c r="AH3862" s="2">
        <v>6</v>
      </c>
      <c r="AJ3862" s="2">
        <f>AI3862*T3862</f>
        <v>0</v>
      </c>
      <c r="AK3862" s="2">
        <f>T3862-W3862</f>
        <v>10.52</v>
      </c>
      <c r="AL3862" s="5">
        <f>(T3862-W3862)/T3862</f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>(T3863-W3863)/T3863</f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>AJ3863</f>
        <v>0</v>
      </c>
      <c r="AG3863" s="2">
        <v>5.9066999999999998</v>
      </c>
      <c r="AH3863" s="2">
        <v>12.6</v>
      </c>
      <c r="AJ3863" s="2">
        <f>AI3863*T3863</f>
        <v>0</v>
      </c>
      <c r="AK3863" s="2">
        <f>T3863-W3863</f>
        <v>6.6932999999999998</v>
      </c>
      <c r="AL3863" s="5">
        <f>(T3863-W3863)/T3863</f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>(T3864-W3864)/T3864</f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>AJ3864</f>
        <v>0</v>
      </c>
      <c r="AG3864" s="2">
        <v>7.2217000000000002</v>
      </c>
      <c r="AH3864" s="2">
        <v>14.4</v>
      </c>
      <c r="AJ3864" s="2">
        <f>AI3864*T3864</f>
        <v>0</v>
      </c>
      <c r="AK3864" s="2">
        <f>T3864-W3864</f>
        <v>7.1783000000000001</v>
      </c>
      <c r="AL3864" s="5">
        <f>(T3864-W3864)/T3864</f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>(T3865-W3865)/T3865</f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>AJ3865</f>
        <v>0</v>
      </c>
      <c r="AJ3865" s="2">
        <f>AI3865*T3865</f>
        <v>0</v>
      </c>
      <c r="AK3865" s="2">
        <f>T3865-W3865</f>
        <v>8.3249999999999993</v>
      </c>
      <c r="AL3865" s="5">
        <f>(T3865-W3865)/T3865</f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>(T3866-W3866)/T3866</f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>AJ3866</f>
        <v>0</v>
      </c>
      <c r="AJ3866" s="2">
        <f>AI3866*T3866</f>
        <v>0</v>
      </c>
      <c r="AK3866" s="2">
        <f>T3866-W3866</f>
        <v>21</v>
      </c>
      <c r="AL3866" s="5">
        <f>(T3866-W3866)/T3866</f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>(T3867-W3867)/T3867</f>
        <v>0.4679880952380952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>AJ3867</f>
        <v>0</v>
      </c>
      <c r="AJ3867" s="2">
        <f>AI3867*T3867</f>
        <v>0</v>
      </c>
      <c r="AK3867" s="2">
        <f>T3867-W3867</f>
        <v>11.793299999999999</v>
      </c>
      <c r="AL3867" s="5">
        <f>(T3867-W3867)/T3867</f>
        <v>0.4679880952380952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>(T3868-W3868)/T3868</f>
        <v>0.45916999999999997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>AJ3868</f>
        <v>0</v>
      </c>
      <c r="AJ3868" s="2">
        <f>AI3868*T3868</f>
        <v>0</v>
      </c>
      <c r="AK3868" s="2">
        <f>T3868-W3868</f>
        <v>13.775099999999998</v>
      </c>
      <c r="AL3868" s="5">
        <f>(T3868-W3868)/T3868</f>
        <v>0.45916999999999997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>(T3869-W3869)/T3869</f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>AJ3869</f>
        <v>0</v>
      </c>
      <c r="AJ3869" s="2">
        <f>AI3869*T3869</f>
        <v>0</v>
      </c>
      <c r="AK3869" s="2">
        <f>T3869-W3869</f>
        <v>18</v>
      </c>
      <c r="AL3869" s="5">
        <f>(T3869-W3869)/T3869</f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>(T3870-W3870)/T3870</f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>AJ3870</f>
        <v>0</v>
      </c>
      <c r="AJ3870" s="2">
        <f>AI3870*T3870</f>
        <v>0</v>
      </c>
      <c r="AK3870" s="2">
        <f>T3870-W3870</f>
        <v>19.8</v>
      </c>
      <c r="AL3870" s="5">
        <f>(T3870-W3870)/T3870</f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>(T3871-W3871)/T3871</f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>AJ3871</f>
        <v>0</v>
      </c>
      <c r="AJ3871" s="2">
        <f>AI3871*T3871</f>
        <v>0</v>
      </c>
      <c r="AK3871" s="2">
        <f>T3871-W3871</f>
        <v>22.8</v>
      </c>
      <c r="AL3871" s="5">
        <f>(T3871-W3871)/T3871</f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>(T3872-W3872)/T3872</f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>AJ3872</f>
        <v>0</v>
      </c>
      <c r="AJ3872" s="2">
        <f>AI3872*T3872</f>
        <v>0</v>
      </c>
      <c r="AK3872" s="2">
        <f>T3872-W3872</f>
        <v>11.29</v>
      </c>
      <c r="AL3872" s="5">
        <f>(T3872-W3872)/T3872</f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>(T3873-W3873)/T3873</f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>AJ3873</f>
        <v>0</v>
      </c>
      <c r="AG3873" s="2">
        <v>10.6</v>
      </c>
      <c r="AH3873" s="2">
        <v>18</v>
      </c>
      <c r="AJ3873" s="2">
        <f>AI3873*T3873</f>
        <v>0</v>
      </c>
      <c r="AK3873" s="2">
        <f>T3873-W3873</f>
        <v>39</v>
      </c>
      <c r="AL3873" s="5">
        <f>(T3873-W3873)/T3873</f>
        <v>0.26896551724137929</v>
      </c>
    </row>
    <row r="3874" spans="1:38" x14ac:dyDescent="0.2">
      <c r="A3874" s="2">
        <v>2026</v>
      </c>
      <c r="B3874" s="2">
        <v>5</v>
      </c>
      <c r="C3874" s="2" t="s">
        <v>3376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>(T3874-W3874)/T3874</f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>AJ3874</f>
        <v>0</v>
      </c>
      <c r="AG3874" s="2">
        <v>25.094999999999999</v>
      </c>
      <c r="AH3874" s="2">
        <v>66</v>
      </c>
      <c r="AJ3874" s="2">
        <f>AI3874*T3874</f>
        <v>0</v>
      </c>
      <c r="AK3874" s="2">
        <f>T3874-W3874</f>
        <v>24.904199999999999</v>
      </c>
      <c r="AL3874" s="5">
        <f>(T3874-W3874)/T3874</f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>(T3875-W3875)/T3875</f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>AJ3875</f>
        <v>0</v>
      </c>
      <c r="AG3875" s="2">
        <v>9.14</v>
      </c>
      <c r="AH3875" s="2">
        <v>16</v>
      </c>
      <c r="AJ3875" s="2">
        <f>AI3875*T3875</f>
        <v>0</v>
      </c>
      <c r="AK3875" s="2">
        <f>T3875-W3875</f>
        <v>3.8600000000000012</v>
      </c>
      <c r="AL3875" s="5">
        <f>(T3875-W3875)/T3875</f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>(T3876-W3876)/T3876</f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>AJ3876</f>
        <v>0</v>
      </c>
      <c r="AG3876" s="2">
        <v>8.1999999999999993</v>
      </c>
      <c r="AH3876" s="2">
        <v>13</v>
      </c>
      <c r="AJ3876" s="2">
        <f>AI3876*T3876</f>
        <v>0</v>
      </c>
      <c r="AK3876" s="2">
        <f>T3876-W3876</f>
        <v>19.199999999999996</v>
      </c>
      <c r="AL3876" s="5">
        <f>(T3876-W3876)/T3876</f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>(T3877-W3877)/T3877</f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>AJ3877</f>
        <v>0</v>
      </c>
      <c r="AJ3877" s="2">
        <f>AI3877*T3877</f>
        <v>0</v>
      </c>
      <c r="AK3877" s="2">
        <f>T3877-W3877</f>
        <v>3.8600000000000012</v>
      </c>
      <c r="AL3877" s="5">
        <f>(T3877-W3877)/T3877</f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>AJ3878</f>
        <v>0</v>
      </c>
      <c r="AG3878" s="2">
        <v>0.85609999999999997</v>
      </c>
      <c r="AH3878" s="2">
        <v>1.8</v>
      </c>
      <c r="AJ3878" s="2">
        <f>AI3878*T3878</f>
        <v>0</v>
      </c>
      <c r="AK3878" s="2">
        <f>T3878-W3878</f>
        <v>7.5512000000000006</v>
      </c>
      <c r="AL3878" s="5">
        <f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>(T3879-W3879)/T3879</f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>AJ3879</f>
        <v>0</v>
      </c>
      <c r="AG3879" s="2">
        <v>1.1122000000000001</v>
      </c>
      <c r="AH3879" s="2">
        <v>3</v>
      </c>
      <c r="AJ3879" s="2">
        <f>AI3879*T3879</f>
        <v>0</v>
      </c>
      <c r="AK3879" s="2">
        <f>T3879-W3879</f>
        <v>15.102399999999999</v>
      </c>
      <c r="AL3879" s="5">
        <f>(T3879-W3879)/T3879</f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>(T3880-W3880)/T3880</f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>AJ3880</f>
        <v>0</v>
      </c>
      <c r="AG3880" s="2">
        <v>1.4114</v>
      </c>
      <c r="AH3880" s="2">
        <v>3</v>
      </c>
      <c r="AJ3880" s="2">
        <f>AI3880*T3880</f>
        <v>0</v>
      </c>
      <c r="AK3880" s="2">
        <f>T3880-W3880</f>
        <v>6.3544</v>
      </c>
      <c r="AL3880" s="5">
        <f>(T3880-W3880)/T3880</f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>(T3881-W3881)/T3881</f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>AJ3881</f>
        <v>0</v>
      </c>
      <c r="AJ3881" s="2">
        <f>AI3881*T3881</f>
        <v>0</v>
      </c>
      <c r="AK3881" s="2">
        <f>T3881-W3881</f>
        <v>12</v>
      </c>
      <c r="AL3881" s="5">
        <f>(T3881-W3881)/T3881</f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>(T3882-W3882)/T3882</f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>AJ3882</f>
        <v>0</v>
      </c>
      <c r="AG3882" s="2">
        <v>15.020300000000001</v>
      </c>
      <c r="AH3882" s="2">
        <v>27.6</v>
      </c>
      <c r="AJ3882" s="2">
        <f>AI3882*T3882</f>
        <v>0</v>
      </c>
      <c r="AK3882" s="2">
        <f>T3882-W3882</f>
        <v>7.9796999999999993</v>
      </c>
      <c r="AL3882" s="5">
        <f>(T3882-W3882)/T3882</f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>(T3883-W3883)/T3883</f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>AJ3883</f>
        <v>0</v>
      </c>
      <c r="AG3883" s="2">
        <v>8.3145000000000007</v>
      </c>
      <c r="AH3883" s="2">
        <v>15</v>
      </c>
      <c r="AJ3883" s="2">
        <f>AI3883*T3883</f>
        <v>0</v>
      </c>
      <c r="AK3883" s="2">
        <f>T3883-W3883</f>
        <v>4.6854999999999993</v>
      </c>
      <c r="AL3883" s="5">
        <f>(T3883-W3883)/T3883</f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>(T3884-W3884)/T3884</f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>AJ3884</f>
        <v>0</v>
      </c>
      <c r="AJ3884" s="2">
        <f>AI3884*T3884</f>
        <v>0</v>
      </c>
      <c r="AK3884" s="2">
        <f>T3884-W3884</f>
        <v>13.2</v>
      </c>
      <c r="AL3884" s="5">
        <f>(T3884-W3884)/T3884</f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>(T3885-W3885)/T3885</f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>AJ3885</f>
        <v>0</v>
      </c>
      <c r="AG3885" s="2">
        <v>139.5</v>
      </c>
      <c r="AJ3885" s="2">
        <f>AI3885*T3885</f>
        <v>0</v>
      </c>
      <c r="AK3885" s="2">
        <f>T3885-W3885</f>
        <v>25.5</v>
      </c>
      <c r="AL3885" s="5">
        <f>(T3885-W3885)/T3885</f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>(T3886-W3886)/T3886</f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>AJ3886</f>
        <v>0</v>
      </c>
      <c r="AG3886" s="2">
        <v>3.7357999999999998</v>
      </c>
      <c r="AH3886" s="2">
        <v>9</v>
      </c>
      <c r="AJ3886" s="2">
        <f>AI3886*T3886</f>
        <v>0</v>
      </c>
      <c r="AK3886" s="2">
        <f>T3886-W3886</f>
        <v>21.056800000000003</v>
      </c>
      <c r="AL3886" s="5">
        <f>(T3886-W3886)/T3886</f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>(T3887-W3887)/T3887</f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>AJ3887</f>
        <v>0</v>
      </c>
      <c r="AG3887" s="2">
        <v>8.1999999999999993</v>
      </c>
      <c r="AH3887" s="2">
        <v>13</v>
      </c>
      <c r="AJ3887" s="2">
        <f>AI3887*T3887</f>
        <v>0</v>
      </c>
      <c r="AK3887" s="2">
        <f>T3887-W3887</f>
        <v>4.7999999999999989</v>
      </c>
      <c r="AL3887" s="5">
        <f>(T3887-W3887)/T3887</f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>(T3888-W3888)/T3888</f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>AJ3888</f>
        <v>0</v>
      </c>
      <c r="AG3888" s="2">
        <v>15.020300000000001</v>
      </c>
      <c r="AH3888" s="2">
        <v>27.6</v>
      </c>
      <c r="AJ3888" s="2">
        <f>AI3888*T3888</f>
        <v>0</v>
      </c>
      <c r="AK3888" s="2">
        <f>T3888-W3888</f>
        <v>7.9796999999999993</v>
      </c>
      <c r="AL3888" s="5">
        <f>(T3888-W3888)/T3888</f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>(T3889-W3889)/T3889</f>
        <v>1</v>
      </c>
      <c r="Z3889" s="2" t="s">
        <v>170</v>
      </c>
      <c r="AA3889" s="2" t="s">
        <v>170</v>
      </c>
      <c r="AF3889" s="2">
        <f>AJ3889</f>
        <v>0</v>
      </c>
      <c r="AJ3889" s="2">
        <f>AI3889*T3889</f>
        <v>0</v>
      </c>
      <c r="AK3889" s="2">
        <f>T3889-W3889</f>
        <v>5</v>
      </c>
      <c r="AL3889" s="5">
        <f>(T3889-W3889)/T3889</f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>(T3890-W3890)/T3890</f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>AJ3890</f>
        <v>0</v>
      </c>
      <c r="AJ3890" s="2">
        <f>AI3890*T3890</f>
        <v>0</v>
      </c>
      <c r="AK3890" s="2">
        <f>T3890-W3890</f>
        <v>1649.08</v>
      </c>
      <c r="AL3890" s="5">
        <f>(T3890-W3890)/T3890</f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>(T3891-W3891)/T3891</f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>AJ3891</f>
        <v>0</v>
      </c>
      <c r="AG3891" s="2">
        <f>W3891</f>
        <v>95.100000000000009</v>
      </c>
      <c r="AJ3891" s="2">
        <f>AI3891*T3891</f>
        <v>0</v>
      </c>
      <c r="AK3891" s="2">
        <f>T3891-W3891</f>
        <v>142.64999999999998</v>
      </c>
      <c r="AL3891" s="5">
        <f>(T3891-W3891)/T3891</f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>(T3892-W3892)/T3892</f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>AJ3892</f>
        <v>0</v>
      </c>
      <c r="AG3892" s="2">
        <f>W3892</f>
        <v>27.5</v>
      </c>
      <c r="AJ3892" s="2">
        <f>AI3892*T3892</f>
        <v>0</v>
      </c>
      <c r="AK3892" s="2">
        <f>T3892-W3892</f>
        <v>27.5</v>
      </c>
      <c r="AL3892" s="5">
        <f>(T3892-W3892)/T3892</f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>(T3893-W3893)/T3893</f>
        <v>1</v>
      </c>
      <c r="Z3893" s="2" t="s">
        <v>120</v>
      </c>
      <c r="AA3893" s="2" t="s">
        <v>3384</v>
      </c>
      <c r="AF3893" s="2">
        <f>AJ3893</f>
        <v>0</v>
      </c>
      <c r="AJ3893" s="2">
        <f>AI3893*T3893</f>
        <v>0</v>
      </c>
      <c r="AK3893" s="2">
        <f>T3893-W3893</f>
        <v>297.5</v>
      </c>
      <c r="AL3893" s="5">
        <f>(T3893-W3893)/T3893</f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>(T3894-W3894)/T3894</f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>AJ3894</f>
        <v>0</v>
      </c>
      <c r="AJ3894" s="2">
        <f>AI3894*T3894</f>
        <v>0</v>
      </c>
      <c r="AK3894" s="2">
        <f>T3894-W3894</f>
        <v>146.92000000000002</v>
      </c>
      <c r="AL3894" s="5">
        <f>(T3894-W3894)/T3894</f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>(T3895-W3895)/T3895</f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>AJ3895</f>
        <v>0</v>
      </c>
      <c r="AG3895" s="2">
        <v>121.46</v>
      </c>
      <c r="AH3895" s="2">
        <v>210</v>
      </c>
      <c r="AJ3895" s="2">
        <f>AI3895*T3895</f>
        <v>0</v>
      </c>
      <c r="AK3895" s="2">
        <f>T3895-W3895</f>
        <v>108.54</v>
      </c>
      <c r="AL3895" s="5">
        <f>(T3895-W3895)/T3895</f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>(T3896-W3896)/T3896</f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>AJ3896</f>
        <v>0</v>
      </c>
      <c r="AJ3896" s="2">
        <f>AI3896*T3896</f>
        <v>0</v>
      </c>
      <c r="AK3896" s="2">
        <f>T3896-W3896</f>
        <v>0</v>
      </c>
      <c r="AL3896" s="5">
        <f>(T3896-W3896)/T3896</f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>(T3897-W3897)/T3897</f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>AJ3897</f>
        <v>0</v>
      </c>
      <c r="AJ3897" s="2">
        <f>AI3897*T3897</f>
        <v>0</v>
      </c>
      <c r="AK3897" s="2">
        <f>T3897-W3897</f>
        <v>117.15</v>
      </c>
      <c r="AL3897" s="5">
        <f>(T3897-W3897)/T3897</f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>(T3898-W3898)/T3898</f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>AJ3898</f>
        <v>0</v>
      </c>
      <c r="AJ3898" s="2">
        <f>AI3898*T3898</f>
        <v>0</v>
      </c>
      <c r="AK3898" s="2">
        <f>T3898-W3898</f>
        <v>0</v>
      </c>
      <c r="AL3898" s="5">
        <f>(T3898-W3898)/T3898</f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>(T3899-W3899)/T3899</f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>AJ3899</f>
        <v>0</v>
      </c>
      <c r="AG3899" s="2">
        <v>8.1999999999999993</v>
      </c>
      <c r="AH3899" s="2">
        <v>13</v>
      </c>
      <c r="AJ3899" s="2">
        <f>AI3899*T3899</f>
        <v>0</v>
      </c>
      <c r="AK3899" s="2">
        <f>T3899-W3899</f>
        <v>5.7999999999999989</v>
      </c>
      <c r="AL3899" s="5">
        <f>(T3899-W3899)/T3899</f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E3900" s="2" t="s">
        <v>38</v>
      </c>
      <c r="F3900" s="2" t="s">
        <v>39</v>
      </c>
      <c r="L3900" s="2" t="s">
        <v>419</v>
      </c>
      <c r="M3900" s="2" t="s">
        <v>41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>(T3900-W3900)/T3900</f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>AJ3900</f>
        <v>0</v>
      </c>
      <c r="AG3900" s="2">
        <v>10.6</v>
      </c>
      <c r="AH3900" s="2">
        <v>18</v>
      </c>
      <c r="AJ3900" s="2">
        <f>AI3900*T3900</f>
        <v>0</v>
      </c>
      <c r="AK3900" s="2">
        <f>T3900-W3900</f>
        <v>14.8</v>
      </c>
      <c r="AL3900" s="5">
        <f>(T3900-W3900)/T3900</f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>(T3901-W3901)/T3901</f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>AJ3901</f>
        <v>0</v>
      </c>
      <c r="AG3901" s="2">
        <v>125.51600000000001</v>
      </c>
      <c r="AH3901" s="2">
        <v>220</v>
      </c>
      <c r="AJ3901" s="2">
        <f>AI3901*T3901</f>
        <v>0</v>
      </c>
      <c r="AK3901" s="2">
        <f>T3901-W3901</f>
        <v>94.483999999999995</v>
      </c>
      <c r="AL3901" s="5">
        <f>(T3901-W3901)/T3901</f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>(T3902-W3902)/T3902</f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>AJ3902</f>
        <v>0</v>
      </c>
      <c r="AG3902" s="2">
        <v>111.98</v>
      </c>
      <c r="AH3902" s="2">
        <v>210</v>
      </c>
      <c r="AJ3902" s="2">
        <f>AI3902*T3902</f>
        <v>0</v>
      </c>
      <c r="AK3902" s="2">
        <f>T3902-W3902</f>
        <v>93.02</v>
      </c>
      <c r="AL3902" s="5">
        <f>(T3902-W3902)/T3902</f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>(T3903-W3903)/T3903</f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>AJ3903</f>
        <v>0</v>
      </c>
      <c r="AG3903" s="2">
        <v>1.48</v>
      </c>
      <c r="AH3903" s="2">
        <v>1.48</v>
      </c>
      <c r="AJ3903" s="2">
        <f>AI3903*T3903</f>
        <v>0</v>
      </c>
      <c r="AK3903" s="2">
        <f>T3903-W3903</f>
        <v>0</v>
      </c>
      <c r="AL3903" s="5">
        <f>(T3903-W3903)/T3903</f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>(T3904-W3904)/T3904</f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>AJ3904</f>
        <v>0</v>
      </c>
      <c r="AJ3904" s="2">
        <f>AI3904*T3904</f>
        <v>0</v>
      </c>
      <c r="AK3904" s="2">
        <f>T3904-W3904</f>
        <v>17.555</v>
      </c>
      <c r="AL3904" s="5">
        <f>(T3904-W3904)/T3904</f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>(T3905-W3905)/T3905</f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>AJ3905</f>
        <v>0</v>
      </c>
      <c r="AG3905" s="2">
        <v>104.49</v>
      </c>
      <c r="AH3905" s="2">
        <v>220</v>
      </c>
      <c r="AJ3905" s="2">
        <f>AI3905*T3905</f>
        <v>0</v>
      </c>
      <c r="AK3905" s="2">
        <f>T3905-W3905</f>
        <v>115.51</v>
      </c>
      <c r="AL3905" s="5">
        <f>(T3905-W3905)/T3905</f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>(T3906-W3906)/T3906</f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>AJ3906</f>
        <v>0</v>
      </c>
      <c r="AJ3906" s="2">
        <f>AI3906*T3906</f>
        <v>0</v>
      </c>
      <c r="AK3906" s="2">
        <f>T3906-W3906</f>
        <v>1.48</v>
      </c>
      <c r="AL3906" s="5">
        <f>(T3906-W3906)/T3906</f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>(T3907-W3907)/T3907</f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>AJ3907</f>
        <v>0</v>
      </c>
      <c r="AG3907" s="2">
        <v>14.4</v>
      </c>
      <c r="AH3907" s="2">
        <v>21</v>
      </c>
      <c r="AJ3907" s="2">
        <f>AI3907*T3907</f>
        <v>0</v>
      </c>
      <c r="AK3907" s="2">
        <f>T3907-W3907</f>
        <v>6.6</v>
      </c>
      <c r="AL3907" s="5">
        <f>(T3907-W3907)/T3907</f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>(T3908-W3908)/T3908</f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>AJ3908</f>
        <v>0</v>
      </c>
      <c r="AG3908" s="2">
        <v>10.6</v>
      </c>
      <c r="AH3908" s="2">
        <v>18</v>
      </c>
      <c r="AJ3908" s="2">
        <f>AI3908*T3908</f>
        <v>0</v>
      </c>
      <c r="AK3908" s="2">
        <f>T3908-W3908</f>
        <v>44</v>
      </c>
      <c r="AL3908" s="5">
        <f>(T3908-W3908)/T3908</f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>(T3909-W3909)/T3909</f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>AJ3909</f>
        <v>0</v>
      </c>
      <c r="AG3909" s="2">
        <v>15.020300000000001</v>
      </c>
      <c r="AH3909" s="2">
        <v>27.6</v>
      </c>
      <c r="AJ3909" s="2">
        <f>AI3909*T3909</f>
        <v>0</v>
      </c>
      <c r="AK3909" s="2">
        <f>T3909-W3909</f>
        <v>9.4796999999999993</v>
      </c>
      <c r="AL3909" s="5">
        <f>(T3909-W3909)/T3909</f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>(T3910-W3910)/T3910</f>
        <v>1</v>
      </c>
      <c r="Z3910" s="2" t="s">
        <v>118</v>
      </c>
      <c r="AA3910" s="2" t="s">
        <v>1312</v>
      </c>
      <c r="AF3910" s="2">
        <f>AJ3910</f>
        <v>0</v>
      </c>
      <c r="AJ3910" s="2">
        <f>AI3910*T3910</f>
        <v>0</v>
      </c>
      <c r="AK3910" s="2">
        <f>T3910-W3910</f>
        <v>104.83</v>
      </c>
      <c r="AL3910" s="5">
        <f>(T3910-W3910)/T3910</f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>(T3911-W3911)/T3911</f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>AJ3911</f>
        <v>0</v>
      </c>
      <c r="AG3911" s="2">
        <v>10.6</v>
      </c>
      <c r="AH3911" s="2">
        <v>18</v>
      </c>
      <c r="AJ3911" s="2">
        <f>AI3911*T3911</f>
        <v>0</v>
      </c>
      <c r="AK3911" s="2">
        <f>T3911-W3911</f>
        <v>44</v>
      </c>
      <c r="AL3911" s="5">
        <f>(T3911-W3911)/T3911</f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>(T3912-W3912)/T3912</f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>AJ3912</f>
        <v>0</v>
      </c>
      <c r="AG3912" s="2">
        <v>8.1999999999999993</v>
      </c>
      <c r="AH3912" s="2">
        <v>13</v>
      </c>
      <c r="AJ3912" s="2">
        <f>AI3912*T3912</f>
        <v>0</v>
      </c>
      <c r="AK3912" s="2">
        <f>T3912-W3912</f>
        <v>28</v>
      </c>
      <c r="AL3912" s="5">
        <f>(T3912-W3912)/T3912</f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>(T3913-W3913)/T3913</f>
        <v>1</v>
      </c>
      <c r="Z3913" s="2" t="s">
        <v>170</v>
      </c>
      <c r="AA3913" s="2" t="s">
        <v>170</v>
      </c>
      <c r="AF3913" s="2">
        <f>AJ3913</f>
        <v>0</v>
      </c>
      <c r="AJ3913" s="2">
        <f>AI3913*T3913</f>
        <v>0</v>
      </c>
      <c r="AK3913" s="2">
        <f>T3913-W3913</f>
        <v>5</v>
      </c>
      <c r="AL3913" s="5">
        <f>(T3913-W3913)/T3913</f>
        <v>1</v>
      </c>
    </row>
    <row r="3914" spans="1:38" x14ac:dyDescent="0.2">
      <c r="A3914" s="2">
        <v>2026</v>
      </c>
      <c r="B3914" s="2">
        <v>5</v>
      </c>
      <c r="C3914" s="2" t="s">
        <v>3439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>(T3914-W3914)/T3914</f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>AJ3914</f>
        <v>0</v>
      </c>
      <c r="AG3914" s="2">
        <v>125.51600000000001</v>
      </c>
      <c r="AH3914" s="2">
        <v>220</v>
      </c>
      <c r="AJ3914" s="2">
        <f>AI3914*T3914</f>
        <v>0</v>
      </c>
      <c r="AK3914" s="2">
        <f>T3914-W3914</f>
        <v>64.483999999999995</v>
      </c>
      <c r="AL3914" s="5">
        <f>(T3914-W3914)/T3914</f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>AJ3915</f>
        <v>0</v>
      </c>
      <c r="AJ3915" s="2">
        <f>AI3915*T3915</f>
        <v>0</v>
      </c>
      <c r="AK3915" s="2">
        <f>T3915-W3915</f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3439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>AJ3916</f>
        <v>0</v>
      </c>
      <c r="AJ3916" s="2">
        <f>AI3916*T3916</f>
        <v>0</v>
      </c>
      <c r="AK3916" s="2">
        <f>T3916-W3916</f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>AJ3917</f>
        <v>0</v>
      </c>
      <c r="AG3917" s="2">
        <v>35.931699999999999</v>
      </c>
      <c r="AJ3917" s="2">
        <f>AI3917*T3917</f>
        <v>0</v>
      </c>
      <c r="AK3917" s="2">
        <f>T3917-W3917</f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>AJ3918</f>
        <v>0</v>
      </c>
      <c r="AG3918" s="2">
        <v>5.33</v>
      </c>
      <c r="AJ3918" s="2">
        <f>AI3918*T3918</f>
        <v>0</v>
      </c>
      <c r="AK3918" s="2">
        <f>T3918-W3918</f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>AJ3919</f>
        <v>0</v>
      </c>
      <c r="AG3919" s="2">
        <f>W3919</f>
        <v>-27.400000000000002</v>
      </c>
      <c r="AJ3919" s="2">
        <f>AI3919*T3919</f>
        <v>0</v>
      </c>
      <c r="AK3919" s="2">
        <f>T3919-W3919</f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>AJ3920</f>
        <v>0</v>
      </c>
      <c r="AG3920" s="2">
        <f>W3920</f>
        <v>0</v>
      </c>
      <c r="AJ3920" s="2">
        <f>AI3920*T3920</f>
        <v>0</v>
      </c>
      <c r="AK3920" s="2">
        <f>T3920-W3920</f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>(T3921-W3921)/T3921</f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>AJ3921</f>
        <v>0</v>
      </c>
      <c r="AJ3921" s="2">
        <f>AI3921*T3921</f>
        <v>0</v>
      </c>
      <c r="AK3921" s="2">
        <f>T3921-W3921</f>
        <v>146.92000000000002</v>
      </c>
      <c r="AL3921" s="5">
        <f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>(T3922-W3922)/T3922</f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>AJ3922</f>
        <v>0</v>
      </c>
      <c r="AG3922" s="2">
        <v>10.6</v>
      </c>
      <c r="AH3922" s="2">
        <v>18</v>
      </c>
      <c r="AJ3922" s="2">
        <f>AI3922*T3922</f>
        <v>0</v>
      </c>
      <c r="AK3922" s="2">
        <f>T3922-W3922</f>
        <v>17.600000000000001</v>
      </c>
      <c r="AL3922" s="5">
        <f>(T3922-W3922)/T3922</f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>(T3923-W3923)/T3923</f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>AJ3923</f>
        <v>0</v>
      </c>
      <c r="AJ3923" s="2">
        <f>AI3923*T3923</f>
        <v>0</v>
      </c>
      <c r="AK3923" s="2">
        <f>T3923-W3923</f>
        <v>14.219999999999999</v>
      </c>
      <c r="AL3923" s="5">
        <f>(T3923-W3923)/T3923</f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>(T3924-W3924)/T3924</f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>AJ3924</f>
        <v>0</v>
      </c>
      <c r="AG3924" s="2">
        <v>35.931699999999999</v>
      </c>
      <c r="AJ3924" s="2">
        <f>AI3924*T3924</f>
        <v>0</v>
      </c>
      <c r="AK3924" s="2">
        <f>T3924-W3924</f>
        <v>85.316600000000008</v>
      </c>
      <c r="AL3924" s="5">
        <f>(T3924-W3924)/T3924</f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>(T3925-W3925)/T3925</f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>AJ3925</f>
        <v>0</v>
      </c>
      <c r="AG3925" s="2">
        <v>15.020300000000001</v>
      </c>
      <c r="AH3925" s="2">
        <v>27.6</v>
      </c>
      <c r="AJ3925" s="2">
        <f>AI3925*T3925</f>
        <v>0</v>
      </c>
      <c r="AK3925" s="2">
        <f>T3925-W3925</f>
        <v>12.579700000000001</v>
      </c>
      <c r="AL3925" s="5">
        <f>(T3925-W3925)/T3925</f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>(T3926-W3926)/T3926</f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>AJ3926</f>
        <v>0</v>
      </c>
      <c r="AG3926" s="2">
        <v>131.93</v>
      </c>
      <c r="AH3926" s="2">
        <v>220</v>
      </c>
      <c r="AJ3926" s="2">
        <f>AI3926*T3926</f>
        <v>0</v>
      </c>
      <c r="AK3926" s="2">
        <f>T3926-W3926</f>
        <v>98.07</v>
      </c>
      <c r="AL3926" s="5">
        <f>(T3926-W3926)/T3926</f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>(T3927-W3927)/T3927</f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>AJ3927</f>
        <v>0</v>
      </c>
      <c r="AJ3927" s="2">
        <f>AI3927*T3927</f>
        <v>0</v>
      </c>
      <c r="AK3927" s="2">
        <f>T3927-W3927</f>
        <v>0</v>
      </c>
      <c r="AL3927" s="5">
        <f>(T3927-W3927)/T3927</f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>(T3928-W3928)/T3928</f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>AJ3928</f>
        <v>0</v>
      </c>
      <c r="AG3928" s="2">
        <v>5.23</v>
      </c>
      <c r="AH3928" s="2">
        <v>10.8</v>
      </c>
      <c r="AJ3928" s="2">
        <f>AI3928*T3928</f>
        <v>0</v>
      </c>
      <c r="AK3928" s="2">
        <f>T3928-W3928</f>
        <v>9.77</v>
      </c>
      <c r="AL3928" s="5">
        <f>(T3928-W3928)/T3928</f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>(T3929-W3929)/T3929</f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>AJ3929</f>
        <v>0</v>
      </c>
      <c r="AG3929" s="2">
        <v>0.97</v>
      </c>
      <c r="AH3929" s="2">
        <v>6</v>
      </c>
      <c r="AJ3929" s="2">
        <f>AI3929*T3929</f>
        <v>0</v>
      </c>
      <c r="AK3929" s="2">
        <f>T3929-W3929</f>
        <v>4.03</v>
      </c>
      <c r="AL3929" s="5">
        <f>(T3929-W3929)/T3929</f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>(T3930-W3930)/T3930</f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>AJ3930</f>
        <v>0</v>
      </c>
      <c r="AG3930" s="2">
        <v>3.7357999999999998</v>
      </c>
      <c r="AH3930" s="2">
        <v>9</v>
      </c>
      <c r="AJ3930" s="2">
        <f>AI3930*T3930</f>
        <v>0</v>
      </c>
      <c r="AK3930" s="2">
        <f>T3930-W3930</f>
        <v>5.2642000000000007</v>
      </c>
      <c r="AL3930" s="5">
        <f>(T3930-W3930)/T3930</f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>(T3931-W3931)/T3931</f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>AJ3931</f>
        <v>0</v>
      </c>
      <c r="AG3931" s="2">
        <v>10.6</v>
      </c>
      <c r="AH3931" s="2">
        <v>18</v>
      </c>
      <c r="AJ3931" s="2">
        <f>AI3931*T3931</f>
        <v>0</v>
      </c>
      <c r="AK3931" s="2">
        <f>T3931-W3931</f>
        <v>37</v>
      </c>
      <c r="AL3931" s="5">
        <f>(T3931-W3931)/T3931</f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>(T3932-W3932)/T3932</f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>AJ3932</f>
        <v>0</v>
      </c>
      <c r="AG3932" s="2">
        <v>8.1999999999999993</v>
      </c>
      <c r="AH3932" s="2">
        <v>13</v>
      </c>
      <c r="AJ3932" s="2">
        <f>AI3932*T3932</f>
        <v>0</v>
      </c>
      <c r="AK3932" s="2">
        <f>T3932-W3932</f>
        <v>32.599999999999994</v>
      </c>
      <c r="AL3932" s="5">
        <f>(T3932-W3932)/T3932</f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>(T3933-W3933)/T3933</f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>AJ3933</f>
        <v>0</v>
      </c>
      <c r="AJ3933" s="2">
        <f>AI3933*T3933</f>
        <v>0</v>
      </c>
      <c r="AK3933" s="2">
        <f>T3933-W3933</f>
        <v>6.8600000000000012</v>
      </c>
      <c r="AL3933" s="5">
        <f>(T3933-W3933)/T3933</f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>(T3934-W3934)/T3934</f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>AJ3934</f>
        <v>0</v>
      </c>
      <c r="AG3934" s="2">
        <v>8.1999999999999993</v>
      </c>
      <c r="AH3934" s="2">
        <v>13</v>
      </c>
      <c r="AJ3934" s="2">
        <f>AI3934*T3934</f>
        <v>0</v>
      </c>
      <c r="AK3934" s="2">
        <f>T3934-W3934</f>
        <v>4.7999999999999989</v>
      </c>
      <c r="AL3934" s="5">
        <f>(T3934-W3934)/T3934</f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>(T3935-W3935)/T3935</f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>AJ3935</f>
        <v>0</v>
      </c>
      <c r="AG3935" s="2">
        <v>125.51600000000001</v>
      </c>
      <c r="AH3935" s="2">
        <v>220</v>
      </c>
      <c r="AJ3935" s="2">
        <f>AI3935*T3935</f>
        <v>0</v>
      </c>
      <c r="AK3935" s="2">
        <f>T3935-W3935</f>
        <v>94.483999999999995</v>
      </c>
      <c r="AL3935" s="5">
        <f>(T3935-W3935)/T3935</f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>(T3936-W3936)/T3936</f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>AJ3936</f>
        <v>0</v>
      </c>
      <c r="AJ3936" s="2">
        <f>AI3936*T3936</f>
        <v>0</v>
      </c>
      <c r="AK3936" s="2">
        <f>T3936-W3936</f>
        <v>1.48</v>
      </c>
      <c r="AL3936" s="5">
        <f>(T3936-W3936)/T3936</f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>(T3937-W3937)/T3937</f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>AJ3937</f>
        <v>0</v>
      </c>
      <c r="AJ3937" s="2">
        <f>AI3937*T3937</f>
        <v>0</v>
      </c>
      <c r="AK3937" s="2">
        <f>T3937-W3937</f>
        <v>94</v>
      </c>
      <c r="AL3937" s="5">
        <f>(T3937-W3937)/T3937</f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>(T3938-W3938)/T3938</f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>AJ3938</f>
        <v>0</v>
      </c>
      <c r="AG3938" s="2">
        <v>1.48</v>
      </c>
      <c r="AH3938" s="2">
        <v>1.48</v>
      </c>
      <c r="AJ3938" s="2">
        <f>AI3938*T3938</f>
        <v>0</v>
      </c>
      <c r="AK3938" s="2">
        <f>T3938-W3938</f>
        <v>0</v>
      </c>
      <c r="AL3938" s="5">
        <f>(T3938-W3938)/T3938</f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>(T3939-W3939)/T3939</f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>AJ3939</f>
        <v>0</v>
      </c>
      <c r="AG3939" s="2">
        <f>144.14+15.4</f>
        <v>159.54</v>
      </c>
      <c r="AH3939" s="2">
        <v>280</v>
      </c>
      <c r="AJ3939" s="2">
        <f>AI3939*T3939</f>
        <v>0</v>
      </c>
      <c r="AK3939" s="2">
        <f>T3939-W3939</f>
        <v>98.060000000000031</v>
      </c>
      <c r="AL3939" s="5">
        <f>(T3939-W3939)/T3939</f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>(T3940-W3940)/T3940</f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>AJ3940</f>
        <v>0</v>
      </c>
      <c r="AJ3940" s="2">
        <f>AI3940*T3940</f>
        <v>0</v>
      </c>
      <c r="AK3940" s="2">
        <f>T3940-W3940</f>
        <v>0</v>
      </c>
      <c r="AL3940" s="5">
        <f>(T3940-W3940)/T3940</f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>AJ3941</f>
        <v>0</v>
      </c>
      <c r="AJ3941" s="2">
        <f>AI3941*T3941</f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>AJ3942</f>
        <v>0</v>
      </c>
      <c r="AG3942" s="2">
        <v>5.1349999999999998</v>
      </c>
      <c r="AJ3942" s="2">
        <f>AI3942*T3942</f>
        <v>0</v>
      </c>
      <c r="AK3942" s="2">
        <f>T3942-W3942</f>
        <v>17.650000000000006</v>
      </c>
      <c r="AL3942" s="5">
        <f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>(T3943-W3943)/T3943</f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>AJ3943</f>
        <v>0</v>
      </c>
      <c r="AG3943" s="2">
        <v>5.1349999999999998</v>
      </c>
      <c r="AJ3943" s="2">
        <f>AI3943*T3943</f>
        <v>0</v>
      </c>
      <c r="AK3943" s="2">
        <f>T3943-W3943</f>
        <v>17.650000000000006</v>
      </c>
      <c r="AL3943" s="5">
        <f>(T3943-W3943)/T3943</f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>(T3944-W3944)/T3944</f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>AJ3944</f>
        <v>0</v>
      </c>
      <c r="AG3944" s="2">
        <v>14.4</v>
      </c>
      <c r="AH3944" s="2">
        <v>21</v>
      </c>
      <c r="AJ3944" s="2">
        <f>AI3944*T3944</f>
        <v>0</v>
      </c>
      <c r="AK3944" s="2">
        <f>T3944-W3944</f>
        <v>6.6</v>
      </c>
      <c r="AL3944" s="5">
        <f>(T3944-W3944)/T3944</f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>(T3945-W3945)/T3945</f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>AJ3945</f>
        <v>0</v>
      </c>
      <c r="AJ3945" s="2">
        <f>AI3945*T3945</f>
        <v>0</v>
      </c>
      <c r="AK3945" s="2">
        <f>T3945-W3945</f>
        <v>26</v>
      </c>
      <c r="AL3945" s="5">
        <f>(T3945-W3945)/T3945</f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>(T3946-W3946)/T3946</f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>AJ3946</f>
        <v>0</v>
      </c>
      <c r="AG3946" s="2">
        <v>9.2346000000000004</v>
      </c>
      <c r="AJ3946" s="2">
        <f>AI3946*T3946</f>
        <v>0</v>
      </c>
      <c r="AK3946" s="2">
        <f>T3946-W3946</f>
        <v>8.7653999999999996</v>
      </c>
      <c r="AL3946" s="5">
        <f>(T3946-W3946)/T3946</f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>(T3947-W3947)/T3947</f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>AJ3947</f>
        <v>0</v>
      </c>
      <c r="AG3947" s="2">
        <v>8.1999999999999993</v>
      </c>
      <c r="AH3947" s="2">
        <v>13</v>
      </c>
      <c r="AJ3947" s="2">
        <f>AI3947*T3947</f>
        <v>0</v>
      </c>
      <c r="AK3947" s="2">
        <f>T3947-W3947</f>
        <v>28</v>
      </c>
      <c r="AL3947" s="5">
        <f>(T3947-W3947)/T3947</f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>AJ3948</f>
        <v>0</v>
      </c>
      <c r="AG3948" s="2">
        <v>19.68</v>
      </c>
      <c r="AJ3948" s="2">
        <f>AI3948*T3948</f>
        <v>0</v>
      </c>
      <c r="AK3948" s="2">
        <f>T3948-W3948</f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>AJ3949</f>
        <v>0</v>
      </c>
      <c r="AG3949" s="2">
        <v>11.525</v>
      </c>
      <c r="AJ3949" s="2">
        <f>AI3949*T3949</f>
        <v>0</v>
      </c>
      <c r="AK3949" s="2">
        <f>T3949-W3949</f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>AJ3950</f>
        <v>0</v>
      </c>
      <c r="AG3950" s="2">
        <v>25.2</v>
      </c>
      <c r="AJ3950" s="2">
        <f>AI3950*T3950</f>
        <v>0</v>
      </c>
      <c r="AK3950" s="2">
        <f>T3950-W3950</f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>AJ3951</f>
        <v>0</v>
      </c>
      <c r="AG3951" s="2">
        <f>4893.23+171</f>
        <v>5064.2299999999996</v>
      </c>
      <c r="AJ3951" s="2">
        <f>AI3951*T3951</f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3454</v>
      </c>
      <c r="D3952" s="2" t="s">
        <v>3452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>AJ3952</f>
        <v>0</v>
      </c>
      <c r="AG3952" s="2">
        <v>6468.73</v>
      </c>
      <c r="AJ3952" s="2">
        <f>AI3952*T3952</f>
        <v>0</v>
      </c>
      <c r="AK3952" s="2">
        <f>T3952-W3952</f>
        <v>3461.2700000000004</v>
      </c>
      <c r="AL3952" s="5">
        <f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3374</v>
      </c>
      <c r="D3953" s="2" t="s">
        <v>3453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>(T3953-W3953)/T3953</f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>AJ3953</f>
        <v>0</v>
      </c>
      <c r="AJ3953" s="2">
        <f>AI3953*T3953</f>
        <v>0</v>
      </c>
      <c r="AK3953" s="2">
        <f>T3953-W3953</f>
        <v>1163.8</v>
      </c>
      <c r="AL3953" s="5">
        <f>(T3953-W3953)/T3953</f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>(T3954-W3954)/T3954</f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>AJ3954</f>
        <v>0</v>
      </c>
      <c r="AG3954" s="2">
        <v>122.446</v>
      </c>
      <c r="AH3954" s="2">
        <v>230</v>
      </c>
      <c r="AJ3954" s="2">
        <f>AI3954*T3954</f>
        <v>0</v>
      </c>
      <c r="AK3954" s="2">
        <f>T3954-W3954</f>
        <v>107.554</v>
      </c>
      <c r="AL3954" s="5">
        <f>(T3954-W3954)/T3954</f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>(T3955-W3955)/T3955</f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>AJ3955</f>
        <v>0</v>
      </c>
      <c r="AJ3955" s="2">
        <f>AI3955*T3955</f>
        <v>0</v>
      </c>
      <c r="AK3955" s="2">
        <f>T3955-W3955</f>
        <v>0</v>
      </c>
      <c r="AL3955" s="5">
        <f>(T3955-W3955)/T3955</f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>(T3956-W3956)/T3956</f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>AJ3956</f>
        <v>0</v>
      </c>
      <c r="AG3956" s="2">
        <v>6.6266999999999996</v>
      </c>
      <c r="AH3956" s="2">
        <v>12</v>
      </c>
      <c r="AJ3956" s="2">
        <f>AI3956*T3956</f>
        <v>0</v>
      </c>
      <c r="AK3956" s="2">
        <f>T3956-W3956</f>
        <v>5.3733000000000004</v>
      </c>
      <c r="AL3956" s="5">
        <f>(T3956-W3956)/T3956</f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>(T3957-W3957)/T3957</f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>AJ3957</f>
        <v>0</v>
      </c>
      <c r="AG3957" s="2">
        <v>10.6</v>
      </c>
      <c r="AH3957" s="2">
        <v>18</v>
      </c>
      <c r="AJ3957" s="2">
        <f>AI3957*T3957</f>
        <v>0</v>
      </c>
      <c r="AK3957" s="2">
        <f>T3957-W3957</f>
        <v>14.8</v>
      </c>
      <c r="AL3957" s="5">
        <f>(T3957-W3957)/T3957</f>
        <v>0.41111111111111115</v>
      </c>
    </row>
    <row r="3958" spans="1:38" x14ac:dyDescent="0.2">
      <c r="A3958" s="2">
        <v>2026</v>
      </c>
      <c r="B3958" s="2">
        <v>5</v>
      </c>
      <c r="C3958" s="2" t="s">
        <v>3374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>(T3958-W3958)/T3958</f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>AJ3958</f>
        <v>0</v>
      </c>
      <c r="AG3958" s="2">
        <v>71.381</v>
      </c>
      <c r="AJ3958" s="2">
        <f>AI3958*T3958</f>
        <v>0</v>
      </c>
      <c r="AK3958" s="2">
        <f>T3958-W3958</f>
        <v>81.028999999999996</v>
      </c>
      <c r="AL3958" s="5">
        <f>(T3958-W3958)/T3958</f>
        <v>0.53165146643921002</v>
      </c>
    </row>
    <row r="3959" spans="1:38" x14ac:dyDescent="0.2">
      <c r="A3959" s="2">
        <v>2026</v>
      </c>
      <c r="B3959" s="2">
        <v>5</v>
      </c>
      <c r="C3959" s="2" t="s">
        <v>3374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>(T3959-W3959)/T3959</f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>AJ3959</f>
        <v>0</v>
      </c>
      <c r="AG3959" s="2">
        <f>9.75+0.63</f>
        <v>10.38</v>
      </c>
      <c r="AJ3959" s="2">
        <f>AI3959*T3959</f>
        <v>0</v>
      </c>
      <c r="AK3959" s="2">
        <f>T3959-W3959</f>
        <v>22.23</v>
      </c>
      <c r="AL3959" s="5">
        <f>(T3959-W3959)/T3959</f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>(T3960-W3960)/T3960</f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>AJ3960</f>
        <v>0</v>
      </c>
      <c r="AG3960" s="2">
        <v>122.446</v>
      </c>
      <c r="AH3960" s="2">
        <v>230</v>
      </c>
      <c r="AJ3960" s="2">
        <f>AI3960*T3960</f>
        <v>0</v>
      </c>
      <c r="AK3960" s="2">
        <f>T3960-W3960</f>
        <v>107.554</v>
      </c>
      <c r="AL3960" s="5">
        <f>(T3960-W3960)/T3960</f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>(T3961-W3961)/T3961</f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>AJ3961</f>
        <v>0</v>
      </c>
      <c r="AJ3961" s="2">
        <f>AI3961*T3961</f>
        <v>0</v>
      </c>
      <c r="AK3961" s="2">
        <f>T3961-W3961</f>
        <v>112.15</v>
      </c>
      <c r="AL3961" s="5">
        <f>(T3961-W3961)/T3961</f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>(T3962-W3962)/T3962</f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>AJ3962</f>
        <v>0</v>
      </c>
      <c r="AJ3962" s="2">
        <f>AI3962*T3962</f>
        <v>0</v>
      </c>
      <c r="AK3962" s="2">
        <f>T3962-W3962</f>
        <v>0</v>
      </c>
      <c r="AL3962" s="5">
        <f>(T3962-W3962)/T3962</f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>(T3963-W3963)/T3963</f>
        <v>1</v>
      </c>
      <c r="Z3963" s="2" t="s">
        <v>120</v>
      </c>
      <c r="AA3963" s="2" t="s">
        <v>493</v>
      </c>
      <c r="AF3963" s="2">
        <f>AJ3963</f>
        <v>0</v>
      </c>
      <c r="AJ3963" s="2">
        <f>AI3963*T3963</f>
        <v>0</v>
      </c>
      <c r="AK3963" s="2">
        <f>T3963-W3963</f>
        <v>1357.82</v>
      </c>
      <c r="AL3963" s="5">
        <f>(T3963-W3963)/T3963</f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>(T3964-W3964)/T3964</f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>AJ3964</f>
        <v>0</v>
      </c>
      <c r="AG3964" s="2">
        <f>88.6+1.81</f>
        <v>90.41</v>
      </c>
      <c r="AJ3964" s="2">
        <f>AI3964*T3964</f>
        <v>0</v>
      </c>
      <c r="AK3964" s="2">
        <f>T3964-W3964</f>
        <v>97.509999999999991</v>
      </c>
      <c r="AL3964" s="5">
        <f>(T3964-W3964)/T3964</f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>(T3965-W3965)/T3965</f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>AJ3965</f>
        <v>0</v>
      </c>
      <c r="AG3965" s="2">
        <f>12.87+0.3</f>
        <v>13.17</v>
      </c>
      <c r="AJ3965" s="2">
        <f>AI3965*T3965</f>
        <v>0</v>
      </c>
      <c r="AK3965" s="2">
        <f>T3965-W3965</f>
        <v>15.209999999999999</v>
      </c>
      <c r="AL3965" s="5">
        <f>(T3965-W3965)/T3965</f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>(T3966-W3966)/T3966</f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>AJ3966</f>
        <v>0</v>
      </c>
      <c r="AG3966" s="2">
        <f>W3966</f>
        <v>37.6</v>
      </c>
      <c r="AJ3966" s="2">
        <f>AI3966*T3966</f>
        <v>0</v>
      </c>
      <c r="AK3966" s="2">
        <f>T3966-W3966</f>
        <v>56.4</v>
      </c>
      <c r="AL3966" s="5">
        <f>(T3966-W3966)/T3966</f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>(T3967-W3967)/T3967</f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>AJ3967</f>
        <v>0</v>
      </c>
      <c r="AG3967" s="2">
        <f>W3967</f>
        <v>27.5</v>
      </c>
      <c r="AJ3967" s="2">
        <f>AI3967*T3967</f>
        <v>0</v>
      </c>
      <c r="AK3967" s="2">
        <f>T3967-W3967</f>
        <v>27.5</v>
      </c>
      <c r="AL3967" s="5">
        <f>(T3967-W3967)/T3967</f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>(T3968-W3968)/T3968</f>
        <v>1</v>
      </c>
      <c r="Z3968" s="2" t="s">
        <v>118</v>
      </c>
      <c r="AA3968" s="2" t="s">
        <v>1312</v>
      </c>
      <c r="AF3968" s="2">
        <f>AJ3968</f>
        <v>0</v>
      </c>
      <c r="AJ3968" s="2">
        <f>AI3968*T3968</f>
        <v>0</v>
      </c>
      <c r="AK3968" s="2">
        <f>T3968-W3968</f>
        <v>87.5</v>
      </c>
      <c r="AL3968" s="5">
        <f>(T3968-W3968)/T3968</f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>(T3969-W3969)/T3969</f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>AJ3969</f>
        <v>0</v>
      </c>
      <c r="AG3969" s="2">
        <v>110.68</v>
      </c>
      <c r="AH3969" s="2">
        <v>210</v>
      </c>
      <c r="AJ3969" s="2">
        <f>AI3969*T3969</f>
        <v>0</v>
      </c>
      <c r="AK3969" s="2">
        <f>T3969-W3969</f>
        <v>198.64</v>
      </c>
      <c r="AL3969" s="5">
        <f>(T3969-W3969)/T3969</f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>(T3970-W3970)/T3970</f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>AJ3970</f>
        <v>0</v>
      </c>
      <c r="AJ3970" s="2">
        <f>AI3970*T3970</f>
        <v>0</v>
      </c>
      <c r="AK3970" s="2">
        <f>T3970-W3970</f>
        <v>0</v>
      </c>
      <c r="AL3970" s="5">
        <f>(T3970-W3970)/T3970</f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>AJ3971</f>
        <v>0</v>
      </c>
      <c r="AG3971" s="2">
        <v>125.51600000000001</v>
      </c>
      <c r="AH3971" s="2">
        <v>220</v>
      </c>
      <c r="AJ3971" s="2">
        <f>AI3971*T3971</f>
        <v>0</v>
      </c>
      <c r="AK3971" s="2">
        <f>T3971-W3971</f>
        <v>94.483999999999995</v>
      </c>
      <c r="AL3971" s="5">
        <f>(T3971-W3971)/T3971</f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>AJ3972</f>
        <v>0</v>
      </c>
      <c r="AJ3972" s="2">
        <f>AI3972*T3972</f>
        <v>0</v>
      </c>
      <c r="AK3972" s="2">
        <f>T3972-W3972</f>
        <v>0</v>
      </c>
      <c r="AL3972" s="5">
        <f>(T3972-W3972)/T3972</f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>(T3973-W3973)/T3973</f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>AJ3973</f>
        <v>0</v>
      </c>
      <c r="AG3973" s="2">
        <v>110.68</v>
      </c>
      <c r="AH3973" s="2">
        <v>210</v>
      </c>
      <c r="AJ3973" s="2">
        <f>AI3973*T3973</f>
        <v>0</v>
      </c>
      <c r="AK3973" s="2">
        <f>T3973-W3973</f>
        <v>89.32</v>
      </c>
      <c r="AL3973" s="5">
        <f>(T3973-W3973)/T3973</f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>(T3974-W3974)/T3974</f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>AJ3974</f>
        <v>0</v>
      </c>
      <c r="AJ3974" s="2">
        <f>AI3974*T3974</f>
        <v>0</v>
      </c>
      <c r="AK3974" s="2">
        <f>T3974-W3974</f>
        <v>0</v>
      </c>
      <c r="AL3974" s="5">
        <f>(T3974-W3974)/T3974</f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>(T3975-W3975)/T3975</f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>AJ3975</f>
        <v>0</v>
      </c>
      <c r="AG3975" s="2">
        <v>143.91999999999999</v>
      </c>
      <c r="AJ3975" s="2">
        <f>AI3975*T3975</f>
        <v>0</v>
      </c>
      <c r="AK3975" s="2">
        <f>T3975-W3975</f>
        <v>86.080000000000013</v>
      </c>
      <c r="AL3975" s="5">
        <f>(T3975-W3975)/T3975</f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>(T3976-W3976)/T3976</f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>AJ3976</f>
        <v>0</v>
      </c>
      <c r="AG3976" s="2">
        <v>1.48</v>
      </c>
      <c r="AH3976" s="2">
        <v>1.48</v>
      </c>
      <c r="AJ3976" s="2">
        <f>AI3976*T3976</f>
        <v>0</v>
      </c>
      <c r="AK3976" s="2">
        <f>T3976-W3976</f>
        <v>0</v>
      </c>
      <c r="AL3976" s="5">
        <f>(T3976-W3976)/T3976</f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>(T3977-W3977)/T3977</f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>AJ3977</f>
        <v>0</v>
      </c>
      <c r="AG3977" s="2">
        <v>120.78</v>
      </c>
      <c r="AH3977" s="2">
        <v>210</v>
      </c>
      <c r="AJ3977" s="2">
        <f>AI3977*T3977</f>
        <v>0</v>
      </c>
      <c r="AK3977" s="2">
        <f>T3977-W3977</f>
        <v>139.22</v>
      </c>
      <c r="AL3977" s="5">
        <f>(T3977-W3977)/T3977</f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>(T3978-W3978)/T3978</f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>AJ3978</f>
        <v>0</v>
      </c>
      <c r="AJ3978" s="2">
        <f>AI3978*T3978</f>
        <v>0</v>
      </c>
      <c r="AK3978" s="2">
        <f>T3978-W3978</f>
        <v>0</v>
      </c>
      <c r="AL3978" s="5">
        <f>(T3978-W3978)/T3978</f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>(T3979-W3979)/T3979</f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>AJ3979</f>
        <v>0</v>
      </c>
      <c r="AG3979" s="2">
        <f>W3979</f>
        <v>24</v>
      </c>
      <c r="AJ3979" s="2">
        <f>AI3979*T3979</f>
        <v>0</v>
      </c>
      <c r="AK3979" s="2">
        <f>T3979-W3979</f>
        <v>36</v>
      </c>
      <c r="AL3979" s="5">
        <f>(T3979-W3979)/T3979</f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>(T3980-W3980)/T3980</f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>AJ3980</f>
        <v>0</v>
      </c>
      <c r="AG3980" s="2">
        <f>W3980</f>
        <v>27.5</v>
      </c>
      <c r="AJ3980" s="2">
        <f>AI3980*T3980</f>
        <v>0</v>
      </c>
      <c r="AK3980" s="2">
        <f>T3980-W3980</f>
        <v>27.5</v>
      </c>
      <c r="AL3980" s="5">
        <f>(T3980-W3980)/T3980</f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>AJ3981</f>
        <v>0</v>
      </c>
      <c r="AG3981" s="2">
        <v>10.15</v>
      </c>
      <c r="AJ3981" s="2">
        <f>AI3981*T3981</f>
        <v>0</v>
      </c>
      <c r="AK3981" s="2">
        <f>T3981-W3981</f>
        <v>-68.86</v>
      </c>
      <c r="AL3981" s="5">
        <f>(T3981-W3981)/T3981</f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>AJ3982</f>
        <v>0</v>
      </c>
      <c r="AG3982" s="2">
        <f>W3982</f>
        <v>58.800000000000004</v>
      </c>
      <c r="AJ3982" s="2">
        <f>AI3982*T3982</f>
        <v>0</v>
      </c>
      <c r="AK3982" s="2">
        <f>T3982-W3982</f>
        <v>88.199999999999989</v>
      </c>
      <c r="AL3982" s="5">
        <f>(T3982-W3982)/T3982</f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>(T3983-W3983)/T3983</f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>AJ3983</f>
        <v>0</v>
      </c>
      <c r="AG3983" s="2">
        <f>W3983</f>
        <v>27.5</v>
      </c>
      <c r="AJ3983" s="2">
        <f>AI3983*T3983</f>
        <v>0</v>
      </c>
      <c r="AK3983" s="2">
        <f>T3983-W3983</f>
        <v>27.5</v>
      </c>
      <c r="AL3983" s="5">
        <f>(T3983-W3983)/T3983</f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>(T3984-W3984)/T3984</f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>AJ3984</f>
        <v>0</v>
      </c>
      <c r="AG3984" s="2">
        <v>125.51600000000001</v>
      </c>
      <c r="AH3984" s="2">
        <v>220</v>
      </c>
      <c r="AJ3984" s="2">
        <f>AI3984*T3984</f>
        <v>0</v>
      </c>
      <c r="AK3984" s="2">
        <f>T3984-W3984</f>
        <v>224.21199999999999</v>
      </c>
      <c r="AL3984" s="5">
        <f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>(T3985-W3985)/T3985</f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>AJ3985</f>
        <v>0</v>
      </c>
      <c r="AJ3985" s="2">
        <f>AI3985*T3985</f>
        <v>0</v>
      </c>
      <c r="AK3985" s="2">
        <f>T3985-W3985</f>
        <v>123.72999999999999</v>
      </c>
      <c r="AL3985" s="5">
        <f>(T3985-W3985)/T3985</f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>(T3986-W3986)/T3986</f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>AJ3986</f>
        <v>0</v>
      </c>
      <c r="AG3986" s="2">
        <v>110.68</v>
      </c>
      <c r="AH3986" s="2">
        <v>210</v>
      </c>
      <c r="AJ3986" s="2">
        <f>AI3986*T3986</f>
        <v>0</v>
      </c>
      <c r="AK3986" s="2">
        <f>T3986-W3986</f>
        <v>100.91999999999999</v>
      </c>
      <c r="AL3986" s="5">
        <f>(T3986-W3986)/T3986</f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>(T3987-W3987)/T3987</f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>AJ3987</f>
        <v>0</v>
      </c>
      <c r="AJ3987" s="2">
        <f>AI3987*T3987</f>
        <v>0</v>
      </c>
      <c r="AK3987" s="2">
        <f>T3987-W3987</f>
        <v>0</v>
      </c>
      <c r="AL3987" s="5">
        <f>(T3987-W3987)/T3987</f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>(T3988-W3988)/T3988</f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>AJ3988</f>
        <v>0</v>
      </c>
      <c r="AJ3988" s="2">
        <f>AI3988*T3988</f>
        <v>0</v>
      </c>
      <c r="AK3988" s="2">
        <f>T3988-W3988</f>
        <v>191.39000000000004</v>
      </c>
      <c r="AL3988" s="5">
        <f>(T3988-W3988)/T3988</f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>(T3989-W3989)/T3989</f>
        <v>0.23333333333333334</v>
      </c>
      <c r="Z3989" s="2" t="s">
        <v>170</v>
      </c>
      <c r="AA3989" s="2" t="s">
        <v>170</v>
      </c>
      <c r="AF3989" s="2">
        <f>AJ3989</f>
        <v>0</v>
      </c>
      <c r="AJ3989" s="2">
        <f>AI3989*T3989</f>
        <v>0</v>
      </c>
      <c r="AK3989" s="2">
        <f>T3989-W3989</f>
        <v>7</v>
      </c>
      <c r="AL3989" s="5">
        <f>(T3989-W3989)/T3989</f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>(T3990-W3990)/T3990</f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>AJ3990</f>
        <v>0</v>
      </c>
      <c r="AJ3990" s="2">
        <f>AI3990*T3990</f>
        <v>0</v>
      </c>
      <c r="AK3990" s="2">
        <f>T3990-W3990</f>
        <v>0</v>
      </c>
      <c r="AL3990" s="5">
        <f>(T3990-W3990)/T3990</f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>(T3991-W3991)/T3991</f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>AJ3991</f>
        <v>0</v>
      </c>
      <c r="AG3991" s="2">
        <v>110.68</v>
      </c>
      <c r="AH3991" s="2">
        <v>210</v>
      </c>
      <c r="AJ3991" s="2">
        <f>AI3991*T3991</f>
        <v>0</v>
      </c>
      <c r="AK3991" s="2">
        <f>T3991-W3991</f>
        <v>31.539999999999992</v>
      </c>
      <c r="AL3991" s="5">
        <f>(T3991-W3991)/T3991</f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>(T3992-W3992)/T3992</f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>AJ3992</f>
        <v>0</v>
      </c>
      <c r="AJ3992" s="2">
        <f>AI3992*T3992</f>
        <v>0</v>
      </c>
      <c r="AK3992" s="2">
        <f>T3992-W3992</f>
        <v>0</v>
      </c>
      <c r="AL3992" s="5">
        <f>(T3992-W3992)/T3992</f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>(T3993-W3993)/T3993</f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>AJ3993</f>
        <v>0</v>
      </c>
      <c r="AG3993" s="2">
        <v>125.51600000000001</v>
      </c>
      <c r="AH3993" s="2">
        <v>220</v>
      </c>
      <c r="AJ3993" s="2">
        <f>AI3993*T3993</f>
        <v>0</v>
      </c>
      <c r="AK3993" s="2">
        <f>T3993-W3993</f>
        <v>94.483999999999995</v>
      </c>
      <c r="AL3993" s="5">
        <f>(T3993-W3993)/T3993</f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>(T3994-W3994)/T3994</f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>AJ3994</f>
        <v>0</v>
      </c>
      <c r="AJ3994" s="2">
        <f>AI3994*T3994</f>
        <v>0</v>
      </c>
      <c r="AK3994" s="2">
        <f>T3994-W3994</f>
        <v>0</v>
      </c>
      <c r="AL3994" s="5">
        <f>(T3994-W3994)/T3994</f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>(T3995-W3995)/T3995</f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>AJ3995</f>
        <v>0</v>
      </c>
      <c r="AJ3995" s="2">
        <f>AI3995*T3995</f>
        <v>0</v>
      </c>
      <c r="AK3995" s="2">
        <f>T3995-W3995</f>
        <v>9.715799999999998</v>
      </c>
      <c r="AL3995" s="5">
        <f>(T3995-W3995)/T3995</f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>(T3996-W3996)/T3996</f>
        <v>1</v>
      </c>
      <c r="Z3996" s="2" t="s">
        <v>170</v>
      </c>
      <c r="AA3996" s="2" t="s">
        <v>170</v>
      </c>
      <c r="AF3996" s="2">
        <f>AJ3996</f>
        <v>0</v>
      </c>
      <c r="AJ3996" s="2">
        <f>AI3996*T3996</f>
        <v>0</v>
      </c>
      <c r="AK3996" s="2">
        <f>T3996-W3996</f>
        <v>5</v>
      </c>
      <c r="AL3996" s="5">
        <f>(T3996-W3996)/T3996</f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>(T3997-W3997)/T3997</f>
        <v>0.31578947368421051</v>
      </c>
      <c r="Z3997" s="2" t="s">
        <v>118</v>
      </c>
      <c r="AA3997" s="2" t="s">
        <v>182</v>
      </c>
      <c r="AB3997" s="2" t="s">
        <v>3385</v>
      </c>
      <c r="AC3997" s="2" t="s">
        <v>1329</v>
      </c>
      <c r="AF3997" s="2">
        <f>AJ3997</f>
        <v>0</v>
      </c>
      <c r="AG3997" s="2">
        <v>773.5</v>
      </c>
      <c r="AJ3997" s="2">
        <f>AI3997*T3997</f>
        <v>0</v>
      </c>
      <c r="AK3997" s="2">
        <f>T3997-W3997</f>
        <v>357</v>
      </c>
      <c r="AL3997" s="5">
        <f>(T3997-W3997)/T3997</f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>(T3998-W3998)/T3998</f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>AJ3998</f>
        <v>0</v>
      </c>
      <c r="AG3998" s="2">
        <v>343.38</v>
      </c>
      <c r="AJ3998" s="2">
        <f>AI3998*T3998</f>
        <v>0</v>
      </c>
      <c r="AK3998" s="2">
        <f>T3998-W3998</f>
        <v>347.23</v>
      </c>
      <c r="AL3998" s="5">
        <f>(T3998-W3998)/T3998</f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>(T3999-W3999)/T3999</f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>AJ3999</f>
        <v>0</v>
      </c>
      <c r="AG3999" s="2">
        <f>4893.23+171</f>
        <v>5064.2299999999996</v>
      </c>
      <c r="AJ3999" s="2">
        <f>AI3999*T3999</f>
        <v>0</v>
      </c>
      <c r="AK3999" s="2">
        <f>T3999-W3999</f>
        <v>1925.7700000000004</v>
      </c>
      <c r="AL3999" s="5">
        <f>(T3999-W3999)/T3999</f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>(T4000-W4000)/T4000</f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>AJ4000</f>
        <v>0</v>
      </c>
      <c r="AG4000" s="2">
        <v>131.93</v>
      </c>
      <c r="AH4000" s="2">
        <v>220</v>
      </c>
      <c r="AJ4000" s="2">
        <f>AI4000*T4000</f>
        <v>0</v>
      </c>
      <c r="AK4000" s="2">
        <f>T4000-W4000</f>
        <v>68.069999999999993</v>
      </c>
      <c r="AL4000" s="5">
        <f>(T4000-W4000)/T4000</f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>(T4001-W4001)/T4001</f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>AJ4001</f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>(T4002-W4002)/T4002</f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>AJ4002</f>
        <v>0</v>
      </c>
      <c r="AG4002" s="2">
        <v>120.636</v>
      </c>
      <c r="AH4002" s="2">
        <v>220</v>
      </c>
      <c r="AJ4002" s="2">
        <f>AI4002*T4002</f>
        <v>0</v>
      </c>
      <c r="AK4002" s="2">
        <f>T4002-W4002</f>
        <v>99.364000000000004</v>
      </c>
      <c r="AL4002" s="5">
        <f>(T4002-W4002)/T4002</f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>(T4003-W4003)/T4003</f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>AJ4003</f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>(T4004-W4004)/T4004</f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>AJ4004</f>
        <v>0</v>
      </c>
      <c r="AG4004" s="2">
        <f>78.74+0.63</f>
        <v>79.36999999999999</v>
      </c>
      <c r="AJ4004" s="2">
        <f>AI4004*T4004</f>
        <v>0</v>
      </c>
      <c r="AK4004" s="2">
        <f>T4004-W4004</f>
        <v>73.650000000000006</v>
      </c>
      <c r="AL4004" s="5">
        <f>(T4004-W4004)/T4004</f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>(T4005-W4005)/T4005</f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>AJ4005</f>
        <v>0</v>
      </c>
      <c r="AG4005" s="2">
        <f>78.74+0.63</f>
        <v>79.36999999999999</v>
      </c>
      <c r="AJ4005" s="2">
        <f>AI4005*T4005</f>
        <v>0</v>
      </c>
      <c r="AK4005" s="2">
        <f>T4005-W4005</f>
        <v>9.9999999999994316E-2</v>
      </c>
      <c r="AL4005" s="5">
        <f>(T4005-W4005)/T4005</f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>(T4006-W4006)/T4006</f>
        <v>1</v>
      </c>
      <c r="Z4006" s="2" t="s">
        <v>105</v>
      </c>
      <c r="AA4006" s="2" t="s">
        <v>617</v>
      </c>
      <c r="AB4006" s="2" t="s">
        <v>3441</v>
      </c>
      <c r="AC4006" s="2" t="s">
        <v>115</v>
      </c>
      <c r="AF4006" s="2">
        <f>AJ4006</f>
        <v>0</v>
      </c>
      <c r="AJ4006" s="2">
        <f>AI4006*T4006</f>
        <v>0</v>
      </c>
      <c r="AK4006" s="2">
        <f>T4006-W4006</f>
        <v>3990</v>
      </c>
      <c r="AL4006" s="5">
        <f>(T4006-W4006)/T4006</f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>(T4007-W4007)/T4007</f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>AJ4007</f>
        <v>0</v>
      </c>
      <c r="AG4007" s="2">
        <v>3.7555999999999998</v>
      </c>
      <c r="AH4007" s="2">
        <v>7.2</v>
      </c>
      <c r="AJ4007" s="2">
        <f>AI4007*T4007</f>
        <v>0</v>
      </c>
      <c r="AK4007" s="2">
        <f>T4007-W4007</f>
        <v>51.666000000000004</v>
      </c>
      <c r="AL4007" s="5">
        <f>(T4007-W4007)/T4007</f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>(T4008-W4008)/T4008</f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>AJ4008</f>
        <v>0</v>
      </c>
      <c r="AG4008" s="2">
        <v>1.1122000000000001</v>
      </c>
      <c r="AH4008" s="2">
        <v>3</v>
      </c>
      <c r="AJ4008" s="2">
        <f>AI4008*T4008</f>
        <v>0</v>
      </c>
      <c r="AK4008" s="2">
        <f>T4008-W4008</f>
        <v>37.756</v>
      </c>
      <c r="AL4008" s="5">
        <f>(T4008-W4008)/T4008</f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>(T4009-W4009)/T4009</f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>AJ4009</f>
        <v>0</v>
      </c>
      <c r="AG4009" s="2">
        <v>15.020300000000001</v>
      </c>
      <c r="AH4009" s="2">
        <v>27.6</v>
      </c>
      <c r="AJ4009" s="2">
        <f>AI4009*T4009</f>
        <v>0</v>
      </c>
      <c r="AK4009" s="2">
        <f>T4009-W4009</f>
        <v>18.959399999999999</v>
      </c>
      <c r="AL4009" s="5">
        <f>(T4009-W4009)/T4009</f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>(T4010-W4010)/T4010</f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>AJ4010</f>
        <v>0</v>
      </c>
      <c r="AJ4010" s="2">
        <f>AI4010*T4010</f>
        <v>0</v>
      </c>
      <c r="AK4010" s="2">
        <f>T4010-W4010</f>
        <v>4.8600000000000012</v>
      </c>
      <c r="AL4010" s="5">
        <f>(T4010-W4010)/T4010</f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>(T4011-W4011)/T4011</f>
        <v>1</v>
      </c>
      <c r="Z4011" s="2" t="s">
        <v>170</v>
      </c>
      <c r="AA4011" s="2" t="s">
        <v>170</v>
      </c>
      <c r="AF4011" s="2">
        <f>AJ4011</f>
        <v>0</v>
      </c>
      <c r="AJ4011" s="2">
        <f>AI4011*T4011</f>
        <v>0</v>
      </c>
      <c r="AK4011" s="2">
        <f>T4011-W4011</f>
        <v>5</v>
      </c>
      <c r="AL4011" s="5">
        <f>(T4011-W4011)/T4011</f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1103</v>
      </c>
      <c r="J4012" s="2" t="s">
        <v>1104</v>
      </c>
      <c r="L4012" s="2" t="s">
        <v>178</v>
      </c>
      <c r="M4012" s="2" t="s">
        <v>41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>(T4012-W4012)/T4012</f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>AJ4012</f>
        <v>0</v>
      </c>
      <c r="AG4012" s="2">
        <v>14.4</v>
      </c>
      <c r="AH4012" s="2">
        <v>21</v>
      </c>
      <c r="AJ4012" s="2">
        <f>AI4012*T4012</f>
        <v>0</v>
      </c>
      <c r="AK4012" s="2">
        <f>T4012-W4012</f>
        <v>6.6</v>
      </c>
      <c r="AL4012" s="5">
        <f>(T4012-W4012)/T4012</f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1103</v>
      </c>
      <c r="J4013" s="2" t="s">
        <v>1104</v>
      </c>
      <c r="L4013" s="2" t="s">
        <v>178</v>
      </c>
      <c r="M4013" s="2" t="s">
        <v>41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>(T4013-W4013)/T4013</f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>AJ4013</f>
        <v>0</v>
      </c>
      <c r="AG4013" s="2">
        <v>8.1999999999999993</v>
      </c>
      <c r="AH4013" s="2">
        <v>13</v>
      </c>
      <c r="AJ4013" s="2">
        <f>AI4013*T4013</f>
        <v>0</v>
      </c>
      <c r="AK4013" s="2">
        <f>T4013-W4013</f>
        <v>28</v>
      </c>
      <c r="AL4013" s="5">
        <f>(T4013-W4013)/T4013</f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>(T4014-W4014)/T4014</f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>AJ4014</f>
        <v>0</v>
      </c>
      <c r="AJ4014" s="2">
        <f>AI4014*T4014</f>
        <v>0</v>
      </c>
      <c r="AK4014" s="2">
        <f>T4014-W4014</f>
        <v>10.15</v>
      </c>
      <c r="AL4014" s="5">
        <f>(T4014-W4014)/T4014</f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>(T4015-W4015)/T4015</f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>AJ4015</f>
        <v>0</v>
      </c>
      <c r="AG4015" s="2">
        <f>W4015</f>
        <v>30.400000000000002</v>
      </c>
      <c r="AJ4015" s="2">
        <f>AI4015*T4015</f>
        <v>0</v>
      </c>
      <c r="AK4015" s="2">
        <f>T4015-W4015</f>
        <v>45.599999999999994</v>
      </c>
      <c r="AL4015" s="5">
        <f>(T4015-W4015)/T4015</f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>(T4016-W4016)/T4016</f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>AJ4016</f>
        <v>0</v>
      </c>
      <c r="AG4016" s="2">
        <f>W4016</f>
        <v>27.5</v>
      </c>
      <c r="AJ4016" s="2">
        <f>AI4016*T4016</f>
        <v>0</v>
      </c>
      <c r="AK4016" s="2">
        <f>T4016-W4016</f>
        <v>27.5</v>
      </c>
      <c r="AL4016" s="5">
        <f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>(T4017-W4017)/T4017</f>
        <v>1</v>
      </c>
      <c r="Z4017" s="2" t="s">
        <v>120</v>
      </c>
      <c r="AA4017" s="2" t="s">
        <v>3384</v>
      </c>
      <c r="AF4017" s="2">
        <f>AJ4017</f>
        <v>0</v>
      </c>
      <c r="AJ4017" s="2">
        <f>AI4017*T4017</f>
        <v>0</v>
      </c>
      <c r="AK4017" s="2">
        <f>T4017-W4017</f>
        <v>5.99</v>
      </c>
      <c r="AL4017" s="5">
        <f>(T4017-W4017)/T4017</f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>(T4018-W4018)/T4018</f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>AJ4018</f>
        <v>0</v>
      </c>
      <c r="AG4018" s="2">
        <v>343.38</v>
      </c>
      <c r="AJ4018" s="2">
        <f>AI4018*T4018</f>
        <v>0</v>
      </c>
      <c r="AK4018" s="2">
        <f>T4018-W4018</f>
        <v>355.91999999999996</v>
      </c>
      <c r="AL4018" s="5">
        <f>(T4018-W4018)/T4018</f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>(T4019-W4019)/T4019</f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>AJ4019</f>
        <v>0</v>
      </c>
      <c r="AG4019" s="2">
        <f>W4019</f>
        <v>90</v>
      </c>
      <c r="AJ4019" s="2">
        <f>AI4019*T4019</f>
        <v>0</v>
      </c>
      <c r="AK4019" s="2">
        <f>T4019-W4019</f>
        <v>135</v>
      </c>
      <c r="AL4019" s="5">
        <f>(T4019-W4019)/T4019</f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>AJ4020</f>
        <v>0</v>
      </c>
      <c r="AG4020" s="2">
        <f>W4020</f>
        <v>0</v>
      </c>
      <c r="AJ4020" s="2">
        <f>AI4020*T4020</f>
        <v>0</v>
      </c>
      <c r="AK4020" s="2">
        <f>T4020-W4020</f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>AJ4021</f>
        <v>0</v>
      </c>
      <c r="AG4021" s="2">
        <v>111.98</v>
      </c>
      <c r="AH4021" s="2">
        <v>210</v>
      </c>
      <c r="AJ4021" s="2">
        <f>AI4021*T4021</f>
        <v>0</v>
      </c>
      <c r="AK4021" s="2">
        <f>T4021-W4021</f>
        <v>98.02</v>
      </c>
      <c r="AL4021" s="5">
        <f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>(T4022-W4022)/T4022</f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>AJ4022</f>
        <v>0</v>
      </c>
      <c r="AG4022" s="2">
        <v>1.48</v>
      </c>
      <c r="AH4022" s="2">
        <v>1.48</v>
      </c>
      <c r="AJ4022" s="2">
        <f>AI4022*T4022</f>
        <v>0</v>
      </c>
      <c r="AK4022" s="2">
        <f>T4022-W4022</f>
        <v>0</v>
      </c>
      <c r="AL4022" s="5">
        <f>(T4022-W4022)/T4022</f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>(T4023-W4023)/T4023</f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>AJ4023</f>
        <v>0</v>
      </c>
      <c r="AJ4023" s="2">
        <f>AI4023*T4023</f>
        <v>0</v>
      </c>
      <c r="AK4023" s="2">
        <f>T4023-W4023</f>
        <v>48.900000000000006</v>
      </c>
      <c r="AL4023" s="5">
        <f>(T4023-W4023)/T4023</f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>(T4024-W4024)/T4024</f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>AJ4024</f>
        <v>0</v>
      </c>
      <c r="AG4024" s="2">
        <v>3.7357999999999998</v>
      </c>
      <c r="AH4024" s="2">
        <v>9</v>
      </c>
      <c r="AJ4024" s="2">
        <f>AI4024*T4024</f>
        <v>0</v>
      </c>
      <c r="AK4024" s="2">
        <f>T4024-W4024</f>
        <v>10.528400000000001</v>
      </c>
      <c r="AL4024" s="5">
        <f>(T4024-W4024)/T4024</f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>(T4025-W4025)/T4025</f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>AJ4025</f>
        <v>0</v>
      </c>
      <c r="AG4025" s="2">
        <v>10.6</v>
      </c>
      <c r="AH4025" s="2">
        <v>18</v>
      </c>
      <c r="AJ4025" s="2">
        <f>AI4025*T4025</f>
        <v>0</v>
      </c>
      <c r="AK4025" s="2">
        <f>T4025-W4025</f>
        <v>39</v>
      </c>
      <c r="AL4025" s="5">
        <f>(T4025-W4025)/T4025</f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>(T4026-W4026)/T4026</f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>AJ4026</f>
        <v>0</v>
      </c>
      <c r="AG4026" s="2">
        <v>9.14</v>
      </c>
      <c r="AH4026" s="2">
        <v>16</v>
      </c>
      <c r="AJ4026" s="2">
        <f>AI4026*T4026</f>
        <v>0</v>
      </c>
      <c r="AK4026" s="2">
        <f>T4026-W4026</f>
        <v>11.580000000000002</v>
      </c>
      <c r="AL4026" s="5">
        <f>(T4026-W4026)/T4026</f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>(T4027-W4027)/T4027</f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>AJ4027</f>
        <v>0</v>
      </c>
      <c r="AG4027" s="2">
        <v>8.1999999999999993</v>
      </c>
      <c r="AH4027" s="2">
        <v>13</v>
      </c>
      <c r="AJ4027" s="2">
        <f>AI4027*T4027</f>
        <v>0</v>
      </c>
      <c r="AK4027" s="2">
        <f>T4027-W4027</f>
        <v>14.399999999999999</v>
      </c>
      <c r="AL4027" s="5">
        <f>(T4027-W4027)/T4027</f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>(T4028-W4028)/T4028</f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>AJ4028</f>
        <v>0</v>
      </c>
      <c r="AG4028" s="2">
        <v>0.90300000000000002</v>
      </c>
      <c r="AH4028" s="2">
        <v>2.4</v>
      </c>
      <c r="AJ4028" s="2">
        <f>AI4028*T4028</f>
        <v>0</v>
      </c>
      <c r="AK4028" s="2">
        <f>T4028-W4028</f>
        <v>17.963999999999999</v>
      </c>
      <c r="AL4028" s="5">
        <f>(T4028-W4028)/T4028</f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>(T4029-W4029)/T4029</f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>AJ4029</f>
        <v>0</v>
      </c>
      <c r="AG4029" s="2">
        <v>0.90200000000000002</v>
      </c>
      <c r="AH4029" s="2">
        <v>2.8</v>
      </c>
      <c r="AJ4029" s="2">
        <f>AI4029*T4029</f>
        <v>0</v>
      </c>
      <c r="AK4029" s="2">
        <f>T4029-W4029</f>
        <v>17.975999999999999</v>
      </c>
      <c r="AL4029" s="5">
        <f>(T4029-W4029)/T4029</f>
        <v>0.62416666666666665</v>
      </c>
    </row>
    <row r="4030" spans="1:38" x14ac:dyDescent="0.2">
      <c r="A4030" s="2">
        <v>2026</v>
      </c>
      <c r="B4030" s="2">
        <v>5</v>
      </c>
      <c r="C4030" s="2" t="s">
        <v>3454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>(T4030-W4030)/T4030</f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>AJ4030</f>
        <v>0</v>
      </c>
      <c r="AG4030" s="2">
        <f>104.4+1.77</f>
        <v>106.17</v>
      </c>
      <c r="AJ4030" s="2">
        <f>AI4030*T4030</f>
        <v>0</v>
      </c>
      <c r="AK4030" s="2">
        <f>T4030-W4030</f>
        <v>139.08000000000001</v>
      </c>
      <c r="AL4030" s="5">
        <f>(T4030-W4030)/T4030</f>
        <v>0.39576575038415573</v>
      </c>
    </row>
    <row r="4031" spans="1:38" x14ac:dyDescent="0.2">
      <c r="A4031" s="2">
        <v>2026</v>
      </c>
      <c r="B4031" s="2">
        <v>5</v>
      </c>
      <c r="C4031" s="2" t="s">
        <v>3376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>(T4031-W4031)/T4031</f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>AJ4031</f>
        <v>0</v>
      </c>
      <c r="AG4031" s="2">
        <v>342.22</v>
      </c>
      <c r="AJ4031" s="2">
        <f>AI4031*T4031</f>
        <v>0</v>
      </c>
      <c r="AK4031" s="2">
        <f>T4031-W4031</f>
        <v>120.4966</v>
      </c>
      <c r="AL4031" s="5">
        <f>(T4031-W4031)/T4031</f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>(T4032-W4032)/T4032</f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>AJ4032</f>
        <v>0</v>
      </c>
      <c r="AG4032" s="2">
        <v>125.51600000000001</v>
      </c>
      <c r="AH4032" s="2">
        <v>220</v>
      </c>
      <c r="AJ4032" s="2">
        <f>AI4032*T4032</f>
        <v>0</v>
      </c>
      <c r="AK4032" s="2">
        <f>T4032-W4032</f>
        <v>94.483999999999995</v>
      </c>
      <c r="AL4032" s="5">
        <f>(T4032-W4032)/T4032</f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>(T4033-W4033)/T4033</f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>AJ4033</f>
        <v>0</v>
      </c>
      <c r="AJ4033" s="2">
        <f>AI4033*T4033</f>
        <v>0</v>
      </c>
      <c r="AK4033" s="2">
        <f>T4033-W4033</f>
        <v>0</v>
      </c>
      <c r="AL4033" s="5">
        <f>(T4033-W4033)/T4033</f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>(T4034-W4034)/T4034</f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>AJ4034</f>
        <v>0</v>
      </c>
      <c r="AJ4034" s="2">
        <f>AI4034*T4034</f>
        <v>0</v>
      </c>
      <c r="AK4034" s="2">
        <f>T4034-W4034</f>
        <v>352.72999999999996</v>
      </c>
      <c r="AL4034" s="5">
        <f>(T4034-W4034)/T4034</f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>(T4035-W4035)/T4035</f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>AJ4035</f>
        <v>0</v>
      </c>
      <c r="AG4035" s="2">
        <f>W4035</f>
        <v>70</v>
      </c>
      <c r="AJ4035" s="2">
        <f>AI4035*T4035</f>
        <v>0</v>
      </c>
      <c r="AK4035" s="2">
        <f>T4035-W4035</f>
        <v>105</v>
      </c>
      <c r="AL4035" s="5">
        <f>(T4035-W4035)/T4035</f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>(T4036-W4036)/T4036</f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>AJ4036</f>
        <v>0</v>
      </c>
      <c r="AG4036" s="2">
        <f>W4036</f>
        <v>110</v>
      </c>
      <c r="AJ4036" s="2">
        <f>AI4036*T4036</f>
        <v>0</v>
      </c>
      <c r="AK4036" s="2">
        <f>T4036-W4036</f>
        <v>110</v>
      </c>
      <c r="AL4036" s="5">
        <f>(T4036-W4036)/T4036</f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>(T4037-W4037)/T4037</f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>AJ4037</f>
        <v>0</v>
      </c>
      <c r="AG4037" s="2">
        <v>125.51600000000001</v>
      </c>
      <c r="AH4037" s="2">
        <v>220</v>
      </c>
      <c r="AJ4037" s="2">
        <f>AI4037*T4037</f>
        <v>0</v>
      </c>
      <c r="AK4037" s="2">
        <f>T4037-W4037</f>
        <v>76.13</v>
      </c>
      <c r="AL4037" s="5">
        <f>(T4037-W4037)/T4037</f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>(T4038-W4038)/T4038</f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>AJ4038</f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>(T4039-W4039)/T4039</f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>AJ4039</f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>(T4040-W4040)/T4040</f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>AJ4040</f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>(T4041-W4041)/T4041</f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>AJ4041</f>
        <v>0</v>
      </c>
      <c r="AG4041" s="2">
        <v>285</v>
      </c>
      <c r="AJ4041" s="2">
        <f>AI4041*T4041</f>
        <v>0</v>
      </c>
      <c r="AK4041" s="2">
        <f>T4041-W4041</f>
        <v>-45</v>
      </c>
      <c r="AL4041" s="5">
        <f>(T4041-W4041)/T4041</f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>(T4042-W4042)/T4042</f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>AJ4042</f>
        <v>0</v>
      </c>
      <c r="AG4042" s="2">
        <v>10.6</v>
      </c>
      <c r="AH4042" s="2">
        <v>18</v>
      </c>
      <c r="AJ4042" s="2">
        <f>AI4042*T4042</f>
        <v>0</v>
      </c>
      <c r="AK4042" s="2">
        <f>T4042-W4042</f>
        <v>25.6</v>
      </c>
      <c r="AL4042" s="5">
        <f>(T4042-W4042)/T4042</f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>(T4043-W4043)/T4043</f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>AI4043*T4043</f>
        <v>0</v>
      </c>
      <c r="AK4043" s="2">
        <f>T4043-W4043</f>
        <v>425.77000000000044</v>
      </c>
      <c r="AL4043" s="5">
        <f>(T4043-W4043)/T4043</f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>(T4044-W4044)/T4044</f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>AI4044*T4044</f>
        <v>0</v>
      </c>
      <c r="AK4044" s="2">
        <f>T4044-W4044</f>
        <v>43.8</v>
      </c>
      <c r="AL4044" s="5">
        <f>(T4044-W4044)/T4044</f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>(T4045-W4045)/T4045</f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>(T4046-W4046)/T4046</f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>(T4047-W4047)/T4047</f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>T4048*23%</f>
        <v>17.820400000000003</v>
      </c>
      <c r="V4048" s="10">
        <f>T4048+U4048</f>
        <v>95.30040000000001</v>
      </c>
      <c r="X4048" s="5">
        <f>(T4048-W4048)/T4048</f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>T4049*23%</f>
        <v>107.3134</v>
      </c>
      <c r="V4049" s="10">
        <f>T4049+U4049</f>
        <v>573.89339999999993</v>
      </c>
      <c r="X4049" s="5">
        <f>(T4049-W4049)/T4049</f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>T4050*23%</f>
        <v>28.75</v>
      </c>
      <c r="V4050" s="2">
        <f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>T4051*23%</f>
        <v>25.3</v>
      </c>
      <c r="V4051" s="2">
        <f>T4051+U4051</f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>T4052*23%</f>
        <v>4.1400000000000006</v>
      </c>
      <c r="V4052" s="10">
        <f>T4052+U4052</f>
        <v>22.14</v>
      </c>
      <c r="X4052" s="5">
        <f>(T4052-W4052)/T4052</f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>T4053*23%</f>
        <v>2.99</v>
      </c>
      <c r="V4053" s="10">
        <f>T4053+U4053</f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>T4054*23%</f>
        <v>4.6000000000000005</v>
      </c>
      <c r="V4054" s="10">
        <f>T4054+U4054</f>
        <v>24.6</v>
      </c>
      <c r="X4054" s="5">
        <f>(T4054-W4054)/T4054</f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>T4055*23%</f>
        <v>64.400000000000006</v>
      </c>
      <c r="V4055" s="2">
        <f>T4055+U4055</f>
        <v>344.4</v>
      </c>
      <c r="W4055" s="2">
        <v>153.4</v>
      </c>
      <c r="X4055" s="5">
        <f>(T4055-W4055)/T4055</f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>T4056*23%</f>
        <v>0.34040000000000004</v>
      </c>
      <c r="V4056" s="10">
        <f>T4056+U4056</f>
        <v>1.8204</v>
      </c>
      <c r="W4056" s="2">
        <f>1.48*S4056</f>
        <v>1.48</v>
      </c>
      <c r="X4056" s="5">
        <f>(T4056-W4056)/T4056</f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>T4057*23%</f>
        <v>4.83</v>
      </c>
      <c r="V4057" s="10">
        <f>T4057+U4057</f>
        <v>25.83</v>
      </c>
      <c r="X4057" s="5">
        <f>(T4057-W4057)/T4057</f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>T4058*23%</f>
        <v>6.9</v>
      </c>
      <c r="V4058" s="10">
        <f>T4058+U4058</f>
        <v>36.9</v>
      </c>
      <c r="W4058" s="2">
        <f>16.2249*S4058</f>
        <v>16.224900000000002</v>
      </c>
      <c r="X4058" s="5">
        <f>(T4058-W4058)/T4058</f>
        <v>0.45916999999999997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>T4059*23%</f>
        <v>4.5540000000000003</v>
      </c>
      <c r="V4059" s="10">
        <f>T4059+U4059</f>
        <v>24.353999999999999</v>
      </c>
      <c r="X4059" s="5">
        <f>(T4059-W4059)/T4059</f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>T4060*23%</f>
        <v>8.2800000000000011</v>
      </c>
      <c r="V4060" s="10">
        <f>T4060+U4060</f>
        <v>44.28</v>
      </c>
      <c r="X4060" s="5">
        <f>(T4060-W4060)/T4060</f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>T4061*23%</f>
        <v>50.6</v>
      </c>
      <c r="V4061" s="10">
        <f>T4061+U4061</f>
        <v>270.60000000000002</v>
      </c>
      <c r="W4061" s="2">
        <v>131.93</v>
      </c>
      <c r="X4061" s="5">
        <f>(T4061-W4061)/T4061</f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>T4062*23%</f>
        <v>0.34040000000000004</v>
      </c>
      <c r="V4062" s="10">
        <f>T4062+U4062</f>
        <v>1.8204</v>
      </c>
      <c r="W4062" s="2">
        <f>1.48*S4062</f>
        <v>1.48</v>
      </c>
      <c r="X4062" s="5">
        <f>(T4062-W4062)/T4062</f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>T4063*23%</f>
        <v>13.8</v>
      </c>
      <c r="V4063" s="2">
        <f>T4063+U4063</f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>T4064*23%</f>
        <v>12.65</v>
      </c>
      <c r="V4064" s="2">
        <f>T4064+U4064</f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>(T4066-W4066)/T4066</f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>T4067*23%</f>
        <v>26.68</v>
      </c>
      <c r="V4067" s="10">
        <f>T4067+U4067</f>
        <v>142.68</v>
      </c>
      <c r="X4067" s="5">
        <f>(T4067-W4067)/T4067</f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3424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>T4068*23%</f>
        <v>4577</v>
      </c>
      <c r="V4068" s="2">
        <f>T4068+U4068</f>
        <v>24477</v>
      </c>
      <c r="W4068" s="2">
        <f>10699.41+285.74</f>
        <v>10985.15</v>
      </c>
      <c r="X4068" s="5">
        <f>(T4068-W4068)/T4068</f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>T4069*23%</f>
        <v>2053.9</v>
      </c>
      <c r="V4069" s="10">
        <f>T4069+U4069</f>
        <v>10983.9</v>
      </c>
      <c r="W4069" s="2">
        <f>6348.73+221.85</f>
        <v>6570.58</v>
      </c>
      <c r="X4069" s="5">
        <f>(T4069-W4069)/T4069</f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>T4070*23%</f>
        <v>1607.7</v>
      </c>
      <c r="V4070" s="10">
        <f>T4070+U4070</f>
        <v>8597.7000000000007</v>
      </c>
      <c r="W4070" s="2">
        <f>4893.23+171</f>
        <v>5064.2299999999996</v>
      </c>
      <c r="X4070" s="5">
        <f>(T4070-W4070)/T4070</f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>T4071*23%</f>
        <v>72.22</v>
      </c>
      <c r="V4071" s="2">
        <f>T4071+U4071</f>
        <v>386.22</v>
      </c>
      <c r="W4071" s="2">
        <f>T4071*40%</f>
        <v>125.60000000000001</v>
      </c>
      <c r="X4071" s="5">
        <f>(T4071-W4071)/T4071</f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>T4072*23%</f>
        <v>50.6</v>
      </c>
      <c r="V4072" s="2">
        <f>T4072+U4072</f>
        <v>270.60000000000002</v>
      </c>
      <c r="W4072" s="2">
        <f>T4072*50%</f>
        <v>110</v>
      </c>
      <c r="X4072" s="5">
        <f>(T4072-W4072)/T4072</f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>(T4073-W4073)/T4073</f>
        <v>1</v>
      </c>
      <c r="Z4073" s="2" t="s">
        <v>120</v>
      </c>
      <c r="AA4073" s="2" t="s">
        <v>3384</v>
      </c>
      <c r="AI4073" s="2"/>
      <c r="AK4073" s="2">
        <f>T4073-W4073</f>
        <v>100</v>
      </c>
      <c r="AL4073" s="5">
        <f>(T4073-W4073)/T4073</f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>T4075-W4075</f>
        <v>18.878</v>
      </c>
      <c r="AL4075" s="5">
        <f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>(T4077-W4077)/T4077</f>
        <v>1</v>
      </c>
      <c r="AI4077" s="2"/>
      <c r="AK4077" s="2">
        <f>T4077-W4077</f>
        <v>700</v>
      </c>
      <c r="AL4077" s="5">
        <f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W4078" s="2">
        <v>7437.5950000000003</v>
      </c>
      <c r="X4078" s="5">
        <f>(T4078-W4078)/T4078</f>
        <v>0.35325260869565217</v>
      </c>
      <c r="Z4078" s="2" t="s">
        <v>105</v>
      </c>
      <c r="AA4078" s="2" t="s">
        <v>415</v>
      </c>
      <c r="AB4078" s="2" t="s">
        <v>152</v>
      </c>
      <c r="AC4078" s="2" t="s">
        <v>115</v>
      </c>
      <c r="AI4078" s="2"/>
      <c r="AK4078" s="2">
        <f>T4078-W4078</f>
        <v>4062.4049999999997</v>
      </c>
      <c r="AL4078" s="5">
        <f>(T4078-W4078)/T4078</f>
        <v>0.35325260869565217</v>
      </c>
    </row>
    <row r="4079" spans="1:38" x14ac:dyDescent="0.2">
      <c r="A4079" s="8">
        <v>2026</v>
      </c>
      <c r="B4079" s="8">
        <v>6</v>
      </c>
      <c r="C4079" s="8" t="s">
        <v>3382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>T4079*23%</f>
        <v>2.4840000000000004</v>
      </c>
      <c r="V4079" s="10">
        <f>T4079+U4079</f>
        <v>13.284000000000001</v>
      </c>
      <c r="W4079" s="2">
        <v>5.23</v>
      </c>
      <c r="X4079" s="5">
        <f>(T4079-W4079)/T4079</f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>T4079-W4079</f>
        <v>5.57</v>
      </c>
      <c r="AL4079" s="5">
        <f>(T4079-W4079)/T4079</f>
        <v>0.51574074074074072</v>
      </c>
    </row>
    <row r="4080" spans="1:38" x14ac:dyDescent="0.2">
      <c r="A4080" s="8">
        <v>2026</v>
      </c>
      <c r="B4080" s="8">
        <v>6</v>
      </c>
      <c r="C4080" s="8" t="s">
        <v>3382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>T4080*23%</f>
        <v>0.82800000000000007</v>
      </c>
      <c r="V4080" s="10">
        <f>T4080+U4080</f>
        <v>4.4279999999999999</v>
      </c>
      <c r="W4080" s="2">
        <f>0.97*S4080</f>
        <v>0.97</v>
      </c>
      <c r="X4080" s="5">
        <f>(T4080-W4080)/T4080</f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>T4080-W4080</f>
        <v>2.63</v>
      </c>
      <c r="AL4080" s="5">
        <f>(T4080-W4080)/T4080</f>
        <v>0.73055555555555551</v>
      </c>
    </row>
    <row r="4081" spans="1:38" x14ac:dyDescent="0.2">
      <c r="A4081" s="8">
        <v>2026</v>
      </c>
      <c r="B4081" s="8">
        <v>6</v>
      </c>
      <c r="C4081" s="8" t="s">
        <v>3382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>T4081*23%</f>
        <v>4.83</v>
      </c>
      <c r="V4081" s="10">
        <f>T4081+U4081</f>
        <v>25.83</v>
      </c>
      <c r="W4081" s="2">
        <f>10.67*S4081</f>
        <v>10.67</v>
      </c>
      <c r="X4081" s="5">
        <f>(T4081-W4081)/T4081</f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>T4081-W4081</f>
        <v>10.33</v>
      </c>
      <c r="AL4081" s="5">
        <f>(T4081-W4081)/T4081</f>
        <v>0.4919047619047619</v>
      </c>
    </row>
    <row r="4082" spans="1:38" x14ac:dyDescent="0.2">
      <c r="A4082" s="8">
        <v>2026</v>
      </c>
      <c r="B4082" s="8">
        <v>6</v>
      </c>
      <c r="C4082" s="8" t="s">
        <v>3382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>T4082*23%</f>
        <v>4.83</v>
      </c>
      <c r="V4082" s="10">
        <f>T4082+U4082</f>
        <v>25.83</v>
      </c>
      <c r="W4082" s="2">
        <f>9.3*S4082</f>
        <v>9.3000000000000007</v>
      </c>
      <c r="X4082" s="5">
        <f>(T4082-W4082)/T4082</f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>T4082-W4082</f>
        <v>11.7</v>
      </c>
      <c r="AL4082" s="5">
        <f>(T4082-W4082)/T4082</f>
        <v>0.55714285714285716</v>
      </c>
    </row>
    <row r="4083" spans="1:38" x14ac:dyDescent="0.2">
      <c r="A4083" s="8">
        <v>2026</v>
      </c>
      <c r="B4083" s="8">
        <v>6</v>
      </c>
      <c r="C4083" s="8" t="s">
        <v>3382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>T4083*23%</f>
        <v>2.0700000000000003</v>
      </c>
      <c r="V4083" s="10">
        <f>T4083+U4083</f>
        <v>11.07</v>
      </c>
      <c r="W4083" s="2">
        <f>3.7358*S4083</f>
        <v>3.7357999999999998</v>
      </c>
      <c r="X4083" s="5">
        <f>(T4083-W4083)/T4083</f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>T4083-W4083</f>
        <v>5.2642000000000007</v>
      </c>
      <c r="AL4083" s="5">
        <f>(T4083-W4083)/T4083</f>
        <v>0.58491111111111116</v>
      </c>
    </row>
    <row r="4084" spans="1:38" x14ac:dyDescent="0.2">
      <c r="A4084" s="8">
        <v>2026</v>
      </c>
      <c r="B4084" s="8">
        <v>6</v>
      </c>
      <c r="C4084" s="8" t="s">
        <v>3382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>T4084*23%</f>
        <v>3.3120000000000003</v>
      </c>
      <c r="V4084" s="10">
        <f>T4084+U4084</f>
        <v>17.712</v>
      </c>
      <c r="W4084" s="2">
        <v>7.2217000000000002</v>
      </c>
      <c r="X4084" s="5">
        <f>(T4084-W4084)/T4084</f>
        <v>0.49849305555555556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>T4084-W4084</f>
        <v>7.1783000000000001</v>
      </c>
      <c r="AL4084" s="5">
        <f>(T4084-W4084)/T4084</f>
        <v>0.49849305555555556</v>
      </c>
    </row>
    <row r="4085" spans="1:38" x14ac:dyDescent="0.2">
      <c r="A4085" s="8">
        <v>2026</v>
      </c>
      <c r="B4085" s="8">
        <v>6</v>
      </c>
      <c r="C4085" s="8" t="s">
        <v>3382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>T4085*23%</f>
        <v>4.0019999999999998</v>
      </c>
      <c r="V4085" s="10">
        <f>T4085+U4085</f>
        <v>21.401999999999997</v>
      </c>
      <c r="W4085" s="2">
        <f>9.075*S4085</f>
        <v>9.0749999999999993</v>
      </c>
      <c r="X4085" s="5">
        <f>(T4085-W4085)/T4085</f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>T4085-W4085</f>
        <v>8.3249999999999993</v>
      </c>
      <c r="AL4085" s="5">
        <f>(T4085-W4085)/T4085</f>
        <v>0.47844827586206895</v>
      </c>
    </row>
    <row r="4086" spans="1:38" x14ac:dyDescent="0.2">
      <c r="A4086" s="8">
        <v>2026</v>
      </c>
      <c r="B4086" s="8">
        <v>6</v>
      </c>
      <c r="C4086" s="8" t="s">
        <v>3382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>T4086*23%</f>
        <v>4.83</v>
      </c>
      <c r="V4086" s="10">
        <f>T4086+U4086</f>
        <v>25.83</v>
      </c>
      <c r="X4086" s="5">
        <f>(T4086-W4086)/T4086</f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>T4086-W4086</f>
        <v>21</v>
      </c>
      <c r="AL4086" s="5">
        <f>(T4086-W4086)/T4086</f>
        <v>1</v>
      </c>
    </row>
    <row r="4087" spans="1:38" x14ac:dyDescent="0.2">
      <c r="A4087" s="8">
        <v>2026</v>
      </c>
      <c r="B4087" s="8">
        <v>6</v>
      </c>
      <c r="C4087" s="8" t="s">
        <v>3382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>T4087*23%</f>
        <v>5.7960000000000003</v>
      </c>
      <c r="V4087" s="10">
        <f>T4087+U4087</f>
        <v>30.995999999999999</v>
      </c>
      <c r="W4087" s="2">
        <f>13.4067*S4087</f>
        <v>13.406700000000001</v>
      </c>
      <c r="X4087" s="5">
        <f>(T4087-W4087)/T4087</f>
        <v>0.4679880952380952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>T4087-W4087</f>
        <v>11.793299999999999</v>
      </c>
      <c r="AL4087" s="5">
        <f>(T4087-W4087)/T4087</f>
        <v>0.4679880952380952</v>
      </c>
    </row>
    <row r="4088" spans="1:38" x14ac:dyDescent="0.2">
      <c r="A4088" s="8">
        <v>2026</v>
      </c>
      <c r="B4088" s="8">
        <v>6</v>
      </c>
      <c r="C4088" s="8" t="s">
        <v>3382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>T4088*23%</f>
        <v>6.9</v>
      </c>
      <c r="V4088" s="10">
        <f>T4088+U4088</f>
        <v>36.9</v>
      </c>
      <c r="W4088" s="2">
        <f>16.2249*S4088</f>
        <v>16.224900000000002</v>
      </c>
      <c r="X4088" s="5">
        <f>(T4088-W4088)/T4088</f>
        <v>0.45916999999999997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>T4088-W4088</f>
        <v>13.775099999999998</v>
      </c>
      <c r="AL4088" s="5">
        <f>(T4088-W4088)/T4088</f>
        <v>0.45916999999999997</v>
      </c>
    </row>
    <row r="4089" spans="1:38" x14ac:dyDescent="0.2">
      <c r="A4089" s="8">
        <v>2026</v>
      </c>
      <c r="B4089" s="8">
        <v>6</v>
      </c>
      <c r="C4089" s="8" t="s">
        <v>3382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>T4089*23%</f>
        <v>4.1400000000000006</v>
      </c>
      <c r="V4089" s="10">
        <f>T4089+U4089</f>
        <v>22.14</v>
      </c>
      <c r="X4089" s="5">
        <f>(T4089-W4089)/T4089</f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>T4089-W4089</f>
        <v>18</v>
      </c>
      <c r="AL4089" s="5">
        <f>(T4089-W4089)/T4089</f>
        <v>1</v>
      </c>
    </row>
    <row r="4090" spans="1:38" x14ac:dyDescent="0.2">
      <c r="A4090" s="8">
        <v>2026</v>
      </c>
      <c r="B4090" s="8">
        <v>6</v>
      </c>
      <c r="C4090" s="8" t="s">
        <v>3382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>T4090*23%</f>
        <v>4.5540000000000003</v>
      </c>
      <c r="V4090" s="10">
        <f>T4090+U4090</f>
        <v>24.353999999999999</v>
      </c>
      <c r="X4090" s="5">
        <f>(T4090-W4090)/T4090</f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>T4090-W4090</f>
        <v>19.8</v>
      </c>
      <c r="AL4090" s="5">
        <f>(T4090-W4090)/T4090</f>
        <v>1</v>
      </c>
    </row>
    <row r="4091" spans="1:38" x14ac:dyDescent="0.2">
      <c r="A4091" s="8">
        <v>2026</v>
      </c>
      <c r="B4091" s="8">
        <v>6</v>
      </c>
      <c r="C4091" s="8" t="s">
        <v>3382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>T4091*23%</f>
        <v>5.2440000000000007</v>
      </c>
      <c r="V4091" s="10">
        <f>T4091+U4091</f>
        <v>28.044</v>
      </c>
      <c r="X4091" s="5">
        <f>(T4091-W4091)/T4091</f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>T4091-W4091</f>
        <v>22.8</v>
      </c>
      <c r="AL4091" s="5">
        <f>(T4091-W4091)/T4091</f>
        <v>1</v>
      </c>
    </row>
    <row r="4092" spans="1:38" x14ac:dyDescent="0.2">
      <c r="A4092" s="8">
        <v>2026</v>
      </c>
      <c r="B4092" s="8">
        <v>6</v>
      </c>
      <c r="C4092" s="8" t="s">
        <v>3382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>T4092*23%</f>
        <v>5.5200000000000005</v>
      </c>
      <c r="V4092" s="10">
        <f>T4092+U4092</f>
        <v>29.52</v>
      </c>
      <c r="W4092" s="2">
        <f>12.71*S4092</f>
        <v>12.71</v>
      </c>
      <c r="X4092" s="5">
        <f>(T4092-W4092)/T4092</f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>T4092-W4092</f>
        <v>11.29</v>
      </c>
      <c r="AL4092" s="5">
        <f>(T4092-W4092)/T4092</f>
        <v>0.47041666666666665</v>
      </c>
    </row>
    <row r="4093" spans="1:38" x14ac:dyDescent="0.2">
      <c r="A4093" s="8">
        <v>2026</v>
      </c>
      <c r="B4093" s="8">
        <v>6</v>
      </c>
      <c r="C4093" s="8" t="s">
        <v>3382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>T4093*23%</f>
        <v>0</v>
      </c>
      <c r="V4093" s="10">
        <f>T4093+U4093</f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3382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>T4094*23%</f>
        <v>3.22</v>
      </c>
      <c r="V4094" s="10">
        <f>T4094+U4094</f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3382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>T4095*23%</f>
        <v>2.99</v>
      </c>
      <c r="V4095" s="10">
        <f>T4095+U4095</f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3382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>T4096*23%</f>
        <v>3.22</v>
      </c>
      <c r="V4096" s="10">
        <f>T4096+U4096</f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3382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>T4097*23%</f>
        <v>0</v>
      </c>
      <c r="V4097" s="10">
        <f>T4097+U4097</f>
        <v>0</v>
      </c>
      <c r="X4097" s="5">
        <v>0</v>
      </c>
      <c r="Z4097" s="2" t="s">
        <v>3231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3382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>T4098*23%</f>
        <v>9.2000000000000011</v>
      </c>
      <c r="V4098" s="10">
        <f>T4098+U4098</f>
        <v>49.2</v>
      </c>
      <c r="X4098" s="5">
        <f>(T4098-W4098)/T4098</f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>T4098-W4098</f>
        <v>40</v>
      </c>
      <c r="AL4098" s="5">
        <f>(T4098-W4098)/T4098</f>
        <v>1</v>
      </c>
    </row>
    <row r="4099" spans="1:38" x14ac:dyDescent="0.2">
      <c r="A4099" s="8">
        <v>2026</v>
      </c>
      <c r="B4099" s="8">
        <v>6</v>
      </c>
      <c r="C4099" s="8" t="s">
        <v>3382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>T4099*23%</f>
        <v>0.69000000000000006</v>
      </c>
      <c r="V4099" s="10">
        <f>T4099+U4099</f>
        <v>3.69</v>
      </c>
      <c r="W4099" s="2">
        <f>0.98*S4099</f>
        <v>0.98</v>
      </c>
      <c r="X4099" s="5">
        <f>(T4099-W4099)/T4099</f>
        <v>0.67333333333333334</v>
      </c>
      <c r="Z4099" s="2" t="s">
        <v>3231</v>
      </c>
      <c r="AA4099" s="2" t="s">
        <v>46</v>
      </c>
      <c r="AB4099" s="2" t="s">
        <v>91</v>
      </c>
      <c r="AC4099" s="2" t="s">
        <v>58</v>
      </c>
      <c r="AI4099" s="2"/>
      <c r="AK4099" s="2">
        <f>T4099-W4099</f>
        <v>2.02</v>
      </c>
      <c r="AL4099" s="5">
        <f>(T4099-W4099)/T4099</f>
        <v>0.67333333333333334</v>
      </c>
    </row>
    <row r="4100" spans="1:38" x14ac:dyDescent="0.2">
      <c r="A4100" s="8">
        <v>2026</v>
      </c>
      <c r="B4100" s="8">
        <v>6</v>
      </c>
      <c r="C4100" s="8" t="s">
        <v>3382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>T4100*23%</f>
        <v>4.83</v>
      </c>
      <c r="V4100" s="10">
        <f>T4100+U4100</f>
        <v>25.83</v>
      </c>
      <c r="X4100" s="5">
        <f>(T4100-W4100)/T4100</f>
        <v>1</v>
      </c>
      <c r="Z4100" s="2" t="s">
        <v>3231</v>
      </c>
      <c r="AA4100" s="2" t="s">
        <v>46</v>
      </c>
      <c r="AI4100" s="2"/>
      <c r="AK4100" s="2">
        <f>T4100-W4100</f>
        <v>21</v>
      </c>
      <c r="AL4100" s="5">
        <f>(T4100-W4100)/T4100</f>
        <v>1</v>
      </c>
    </row>
    <row r="4101" spans="1:38" x14ac:dyDescent="0.2">
      <c r="A4101" s="8">
        <v>2026</v>
      </c>
      <c r="B4101" s="8">
        <v>6</v>
      </c>
      <c r="C4101" s="8" t="s">
        <v>3382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>T4101*23%</f>
        <v>3.3120000000000003</v>
      </c>
      <c r="V4101" s="10">
        <f>T4101+U4101</f>
        <v>17.712</v>
      </c>
      <c r="W4101" s="2">
        <f>0.8561*S4101</f>
        <v>6.8487999999999998</v>
      </c>
      <c r="X4101" s="5">
        <f>(T4101-W4101)/T4101</f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>T4101-W4101</f>
        <v>7.5512000000000006</v>
      </c>
      <c r="AL4101" s="5">
        <f>(T4101-W4101)/T4101</f>
        <v>0.5243888888888889</v>
      </c>
    </row>
    <row r="4102" spans="1:38" x14ac:dyDescent="0.2">
      <c r="A4102" s="8">
        <v>2026</v>
      </c>
      <c r="B4102" s="8">
        <v>6</v>
      </c>
      <c r="C4102" s="8" t="s">
        <v>3382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>T4102*23%</f>
        <v>2.7600000000000002</v>
      </c>
      <c r="V4102" s="10">
        <f>T4102+U4102</f>
        <v>14.76</v>
      </c>
      <c r="X4102" s="5">
        <f>(T4102-W4102)/T4102</f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>T4102-W4102</f>
        <v>12</v>
      </c>
      <c r="AL4102" s="5">
        <f>(T4102-W4102)/T4102</f>
        <v>1</v>
      </c>
    </row>
    <row r="4103" spans="1:38" x14ac:dyDescent="0.2">
      <c r="A4103" s="8">
        <v>2026</v>
      </c>
      <c r="B4103" s="8">
        <v>6</v>
      </c>
      <c r="C4103" s="8" t="s">
        <v>3382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>T4103*23%</f>
        <v>2.7600000000000002</v>
      </c>
      <c r="V4103" s="10">
        <f>T4103+U4103</f>
        <v>14.76</v>
      </c>
      <c r="X4103" s="5">
        <f>(T4103-W4103)/T4103</f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>T4103-W4103</f>
        <v>12</v>
      </c>
      <c r="AL4103" s="5">
        <f>(T4103-W4103)/T4103</f>
        <v>1</v>
      </c>
    </row>
    <row r="4104" spans="1:38" x14ac:dyDescent="0.2">
      <c r="A4104" s="8">
        <v>2026</v>
      </c>
      <c r="B4104" s="8">
        <v>6</v>
      </c>
      <c r="C4104" s="8" t="s">
        <v>3382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>T4104*23%</f>
        <v>5.29</v>
      </c>
      <c r="V4104" s="10">
        <f>T4104+U4104</f>
        <v>28.29</v>
      </c>
      <c r="X4104" s="5">
        <f>(T4104-W4104)/T4104</f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>T4104-W4104</f>
        <v>23</v>
      </c>
      <c r="AL4104" s="5">
        <f>(T4104-W4104)/T4104</f>
        <v>1</v>
      </c>
    </row>
    <row r="4105" spans="1:38" x14ac:dyDescent="0.2">
      <c r="A4105" s="8">
        <v>2026</v>
      </c>
      <c r="B4105" s="8">
        <v>6</v>
      </c>
      <c r="C4105" s="8" t="s">
        <v>3382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>T4105*23%</f>
        <v>1.794</v>
      </c>
      <c r="V4105" s="10">
        <f>T4105+U4105</f>
        <v>9.5939999999999994</v>
      </c>
      <c r="X4105" s="5">
        <f>(T4105-W4105)/T4105</f>
        <v>1</v>
      </c>
      <c r="Z4105" s="2" t="s">
        <v>3231</v>
      </c>
      <c r="AA4105" s="2" t="s">
        <v>46</v>
      </c>
      <c r="AI4105" s="2"/>
      <c r="AK4105" s="2">
        <f>T4105-W4105</f>
        <v>7.8</v>
      </c>
      <c r="AL4105" s="5">
        <f>(T4105-W4105)/T4105</f>
        <v>1</v>
      </c>
    </row>
    <row r="4106" spans="1:38" x14ac:dyDescent="0.2">
      <c r="A4106" s="8">
        <v>2026</v>
      </c>
      <c r="B4106" s="8">
        <v>6</v>
      </c>
      <c r="C4106" s="8" t="s">
        <v>3382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>T4106*23%</f>
        <v>2.7600000000000002</v>
      </c>
      <c r="V4106" s="2">
        <f>T4106+U4106</f>
        <v>14.76</v>
      </c>
      <c r="X4106" s="5">
        <f>(T4106-W4106)/T4106</f>
        <v>1</v>
      </c>
      <c r="Z4106" s="2" t="s">
        <v>3231</v>
      </c>
      <c r="AA4106" s="2" t="s">
        <v>3383</v>
      </c>
      <c r="AI4106" s="2"/>
      <c r="AK4106" s="2">
        <f>T4106-W4106</f>
        <v>12</v>
      </c>
      <c r="AL4106" s="5">
        <f>(T4106-W4106)/T4106</f>
        <v>1</v>
      </c>
    </row>
    <row r="4107" spans="1:38" x14ac:dyDescent="0.2">
      <c r="A4107" s="8">
        <v>2026</v>
      </c>
      <c r="B4107" s="8">
        <v>6</v>
      </c>
      <c r="C4107" s="8" t="s">
        <v>3382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>T4107*23%</f>
        <v>2.7600000000000002</v>
      </c>
      <c r="V4107" s="2">
        <f>T4107+U4107</f>
        <v>14.76</v>
      </c>
      <c r="W4107" s="2">
        <v>6.86</v>
      </c>
      <c r="X4107" s="5">
        <f>(T4107-W4107)/T4107</f>
        <v>0.42833333333333329</v>
      </c>
      <c r="Z4107" s="2" t="s">
        <v>3231</v>
      </c>
      <c r="AA4107" s="2" t="s">
        <v>3383</v>
      </c>
      <c r="AB4107" s="2" t="s">
        <v>91</v>
      </c>
      <c r="AC4107" s="2" t="s">
        <v>85</v>
      </c>
      <c r="AI4107" s="2"/>
      <c r="AK4107" s="2">
        <f>T4107-W4107</f>
        <v>5.14</v>
      </c>
      <c r="AL4107" s="5">
        <f>(T4107-W4107)/T4107</f>
        <v>0.42833333333333329</v>
      </c>
    </row>
    <row r="4108" spans="1:38" x14ac:dyDescent="0.2">
      <c r="A4108" s="8">
        <v>2026</v>
      </c>
      <c r="B4108" s="8">
        <v>6</v>
      </c>
      <c r="C4108" s="8" t="s">
        <v>3382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>T4108*23%</f>
        <v>0.69000000000000006</v>
      </c>
      <c r="V4108" s="2">
        <f>T4108+U4108</f>
        <v>3.69</v>
      </c>
      <c r="X4108" s="5">
        <f>(T4108-W4108)/T4108</f>
        <v>1</v>
      </c>
      <c r="Z4108" s="2" t="s">
        <v>3231</v>
      </c>
      <c r="AA4108" s="2" t="s">
        <v>3383</v>
      </c>
      <c r="AI4108" s="2"/>
      <c r="AK4108" s="2">
        <f>T4108-W4108</f>
        <v>3</v>
      </c>
      <c r="AL4108" s="5">
        <f>(T4108-W4108)/T4108</f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>(T4109-W4109)/T4109</f>
        <v>1</v>
      </c>
      <c r="AI4109" s="2"/>
      <c r="AK4109" s="2">
        <f>T4109-W4109</f>
        <v>140.37</v>
      </c>
      <c r="AL4109" s="5">
        <f>(T4109-W4109)/T4109</f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>(T4112-W4112)/T4112</f>
        <v>1</v>
      </c>
      <c r="AI4112" s="2"/>
      <c r="AK4112" s="2">
        <f>T4112-W4112</f>
        <v>76.150000000000006</v>
      </c>
      <c r="AL4112" s="5">
        <f>(T4112-W4112)/T4112</f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>T4114*23%</f>
        <v>96.367699999999999</v>
      </c>
      <c r="V4114" s="10">
        <f>T4114+U4114</f>
        <v>515.35770000000002</v>
      </c>
      <c r="X4114" s="5">
        <f>(T4114-W4114)/T4114</f>
        <v>1</v>
      </c>
      <c r="AI4114" s="2"/>
      <c r="AK4114" s="2">
        <f>T4114-W4114</f>
        <v>418.99</v>
      </c>
      <c r="AL4114" s="5">
        <f>(T4114-W4114)/T4114</f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>T4115*23%</f>
        <v>30.166800000000002</v>
      </c>
      <c r="V4115" s="10">
        <f>T4115+U4115</f>
        <v>161.32679999999999</v>
      </c>
      <c r="X4115" s="5">
        <f>(T4115-W4115)/T4115</f>
        <v>1</v>
      </c>
      <c r="AI4115" s="2"/>
      <c r="AK4115" s="2">
        <f>T4115-W4115</f>
        <v>131.16</v>
      </c>
      <c r="AL4115" s="5">
        <f>(T4115-W4115)/T4115</f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>T4116*23%</f>
        <v>54.74</v>
      </c>
      <c r="V4116" s="2">
        <f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>T4117*23%</f>
        <v>12.65</v>
      </c>
      <c r="V4117" s="2">
        <f>T4117+U4117</f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>T4118*23%</f>
        <v>4.0250000000000004</v>
      </c>
      <c r="V4118" s="10">
        <f>T4118+U4118</f>
        <v>21.524999999999999</v>
      </c>
      <c r="X4118" s="5">
        <f>(T4118-W4118)/T4118</f>
        <v>1</v>
      </c>
      <c r="AI4118" s="2"/>
      <c r="AK4118" s="2">
        <f>T4118-W4118</f>
        <v>17.5</v>
      </c>
      <c r="AL4118" s="5">
        <f>(T4118-W4118)/T4118</f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>T4119*23%</f>
        <v>1.84</v>
      </c>
      <c r="V4119" s="10">
        <f>T4119+U4119</f>
        <v>9.84</v>
      </c>
      <c r="X4119" s="5">
        <f>(T4119-W4119)/T4119</f>
        <v>1</v>
      </c>
      <c r="Z4119" s="2" t="s">
        <v>170</v>
      </c>
      <c r="AA4119" s="2" t="s">
        <v>170</v>
      </c>
      <c r="AI4119" s="2"/>
      <c r="AK4119" s="2">
        <f>T4119-W4119</f>
        <v>8</v>
      </c>
      <c r="AL4119" s="5">
        <f>(T4119-W4119)/T4119</f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>T4120*23%</f>
        <v>565.80000000000007</v>
      </c>
      <c r="V4120" s="10">
        <f>T4120+U4120</f>
        <v>3025.8</v>
      </c>
      <c r="X4120" s="5">
        <f>(T4120-W4120)/T4120</f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>T4121*23%</f>
        <v>4.0940000000000003</v>
      </c>
      <c r="V4121" s="10">
        <f>T4121+U4121</f>
        <v>21.894000000000002</v>
      </c>
      <c r="W4121" s="2">
        <f>6.23*2</f>
        <v>12.46</v>
      </c>
      <c r="X4121" s="5">
        <f>(T4121-W4121)/T4121</f>
        <v>0.3</v>
      </c>
      <c r="Z4121" s="2" t="s">
        <v>3231</v>
      </c>
      <c r="AA4121" s="2" t="s">
        <v>156</v>
      </c>
      <c r="AB4121" s="2" t="s">
        <v>3407</v>
      </c>
      <c r="AC4121" s="2" t="s">
        <v>1329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>T4122*23%</f>
        <v>494.5</v>
      </c>
      <c r="V4122" s="10">
        <f>T4122+U4122</f>
        <v>2644.5</v>
      </c>
      <c r="X4122" s="5">
        <f>(T4122-W4122)/T4122</f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>T4123*23%</f>
        <v>503.70000000000005</v>
      </c>
      <c r="V4123" s="10">
        <f>T4123+U4123</f>
        <v>2693.7</v>
      </c>
      <c r="W4123" s="2">
        <v>1578</v>
      </c>
      <c r="X4123" s="5">
        <f>(T4123-W4123)/T4123</f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>(T4124-W4124)/T4124</f>
        <v>1</v>
      </c>
      <c r="Z4124" s="2" t="s">
        <v>120</v>
      </c>
      <c r="AA4124" s="2" t="s">
        <v>3384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3396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3396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>T4127*23%</f>
        <v>2053.9</v>
      </c>
      <c r="V4127" s="10">
        <f>T4127+U4127</f>
        <v>10983.9</v>
      </c>
      <c r="X4127" s="5">
        <f>(T4127-W4127)/T4127</f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>T4128*23%</f>
        <v>1722.7</v>
      </c>
      <c r="V4128" s="10">
        <f>T4128+U4128</f>
        <v>9212.7000000000007</v>
      </c>
      <c r="X4128" s="5">
        <f>(T4128-W4128)/T4128</f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>T4129*23%</f>
        <v>2.3000000000000003</v>
      </c>
      <c r="V4129" s="10">
        <f>T4129+U4129</f>
        <v>12.3</v>
      </c>
      <c r="X4129" s="5">
        <f>(T4129-W4129)/T4129</f>
        <v>1</v>
      </c>
      <c r="AI4129" s="2"/>
      <c r="AK4129" s="2">
        <f>T4129-W4129</f>
        <v>10</v>
      </c>
      <c r="AL4129" s="5">
        <f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>T4130*23%</f>
        <v>2.7600000000000002</v>
      </c>
      <c r="V4130" s="10">
        <f>T4130+U4130</f>
        <v>14.76</v>
      </c>
      <c r="X4130" s="5">
        <f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>T4131*23%</f>
        <v>0.92</v>
      </c>
      <c r="V4131" s="10">
        <f>T4131+U4131</f>
        <v>4.92</v>
      </c>
      <c r="X4131" s="5">
        <f>(T4131-W4131)/T4131</f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>T4132*23%</f>
        <v>1.1500000000000001</v>
      </c>
      <c r="V4132" s="10">
        <f>T4132+U4132</f>
        <v>6.15</v>
      </c>
      <c r="X4132" s="5">
        <f>(T4132-W4132)/T4132</f>
        <v>1</v>
      </c>
      <c r="Z4132" s="2" t="s">
        <v>170</v>
      </c>
      <c r="AA4132" s="2" t="s">
        <v>170</v>
      </c>
      <c r="AI4132" s="2"/>
      <c r="AK4132" s="2">
        <f>T4132-W4132</f>
        <v>5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>T4133*23%</f>
        <v>11.695500000000001</v>
      </c>
      <c r="V4133" s="2">
        <f>T4133+U4133</f>
        <v>62.545500000000004</v>
      </c>
      <c r="X4133" s="5">
        <f>(T4133-W4133)/T4133</f>
        <v>1</v>
      </c>
      <c r="Z4133" s="2" t="s">
        <v>118</v>
      </c>
      <c r="AA4133" s="2" t="s">
        <v>1312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>T4134*23%</f>
        <v>50.473500000000001</v>
      </c>
      <c r="V4134" s="10">
        <f>T4134+U4134</f>
        <v>269.92349999999999</v>
      </c>
      <c r="X4134" s="5">
        <f>(T4134-W4134)/T4134</f>
        <v>1</v>
      </c>
      <c r="AI4134" s="2"/>
      <c r="AK4134" s="2">
        <f>T4134-W4134</f>
        <v>219.45</v>
      </c>
      <c r="AL4134" s="5">
        <f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>T4135*23%</f>
        <v>13.8</v>
      </c>
      <c r="V4135" s="2">
        <f>T4135+U4135</f>
        <v>73.8</v>
      </c>
      <c r="W4135" s="2">
        <f>T4135*40%</f>
        <v>24</v>
      </c>
      <c r="X4135" s="5">
        <f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>T4136*23%</f>
        <v>12.65</v>
      </c>
      <c r="V4136" s="2">
        <f>T4136+U4136</f>
        <v>67.650000000000006</v>
      </c>
      <c r="W4136" s="2">
        <f>T4136*50%</f>
        <v>27.5</v>
      </c>
      <c r="X4136" s="5">
        <f>(T4136-W4136)/T4136</f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>T4137*23%</f>
        <v>51.313000000000002</v>
      </c>
      <c r="V4137" s="2">
        <f>T4137+U4137</f>
        <v>274.41300000000001</v>
      </c>
      <c r="W4137" s="2">
        <v>141.18</v>
      </c>
      <c r="X4137" s="5">
        <f>(T4137-W4137)/T4137</f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>T4138*23%</f>
        <v>0.34040000000000004</v>
      </c>
      <c r="V4138" s="10">
        <f>T4138+U4138</f>
        <v>1.8204</v>
      </c>
      <c r="W4138" s="2">
        <f>1.48*S4138</f>
        <v>1.48</v>
      </c>
      <c r="X4138" s="5">
        <f>(T4138-W4138)/T4138</f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783</v>
      </c>
      <c r="J4139" s="2" t="s">
        <v>784</v>
      </c>
      <c r="K4139" s="2">
        <v>917341136</v>
      </c>
      <c r="L4139" s="2" t="s">
        <v>100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>T4139*23%</f>
        <v>4.1400000000000006</v>
      </c>
      <c r="V4139" s="10">
        <f>T4139+U4139</f>
        <v>22.14</v>
      </c>
      <c r="X4139" s="5">
        <f>(T4139-W4139)/T4139</f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>T4140*23%</f>
        <v>4.83</v>
      </c>
      <c r="V4140" s="10">
        <f>T4140+U4140</f>
        <v>25.83</v>
      </c>
      <c r="W4140" s="2">
        <f>10.67*S4140</f>
        <v>10.67</v>
      </c>
      <c r="X4140" s="5">
        <f>(T4140-W4140)/T4140</f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>T4140-W4140</f>
        <v>10.33</v>
      </c>
      <c r="AL4140" s="5">
        <f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>T4141*23%</f>
        <v>52.900000000000006</v>
      </c>
      <c r="V4141" s="10">
        <f>T4141+U4141</f>
        <v>282.89999999999998</v>
      </c>
      <c r="W4141" s="2">
        <f>115.92+6.06</f>
        <v>121.98</v>
      </c>
      <c r="X4141" s="5">
        <f>(T4141-W4141)/T4141</f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>T4142*23%</f>
        <v>0.34040000000000004</v>
      </c>
      <c r="V4142" s="10">
        <f>T4142+U4142</f>
        <v>1.8204</v>
      </c>
      <c r="W4142" s="2">
        <f>1.48*S4142</f>
        <v>1.48</v>
      </c>
      <c r="X4142" s="5">
        <f>(T4142-W4142)/T4142</f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>T4143*23%</f>
        <v>92</v>
      </c>
      <c r="V4143" s="10">
        <f>T4143+U4143</f>
        <v>492</v>
      </c>
      <c r="W4143" s="2">
        <f>271.66+19.93</f>
        <v>291.59000000000003</v>
      </c>
      <c r="X4143" s="5">
        <f>(T4143-W4143)/T4143</f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>T4144*23%</f>
        <v>0.34040000000000004</v>
      </c>
      <c r="V4144" s="10">
        <f>T4144+U4144</f>
        <v>1.8204</v>
      </c>
      <c r="W4144" s="2">
        <f>1.48*S4144</f>
        <v>1.48</v>
      </c>
      <c r="X4144" s="5">
        <f>(T4144-W4144)/T4144</f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>T4145*23%</f>
        <v>92</v>
      </c>
      <c r="V4145" s="10">
        <f>T4145+U4145</f>
        <v>492</v>
      </c>
      <c r="W4145" s="2">
        <v>290</v>
      </c>
      <c r="X4145" s="5">
        <f>(T4145-W4145)/T4145</f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>T4145-W4145</f>
        <v>110</v>
      </c>
      <c r="AL4145" s="5">
        <f>(T4145-W4145)/T4145</f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>T4146*23%</f>
        <v>1285.7</v>
      </c>
      <c r="V4146" s="10">
        <f>T4146+U4146</f>
        <v>6875.7</v>
      </c>
      <c r="W4146" s="2">
        <v>4275.9799999999996</v>
      </c>
      <c r="X4146" s="5">
        <f>(T4146-W4146)/T4146</f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>T4147*23%</f>
        <v>1021.2</v>
      </c>
      <c r="V4147" s="10">
        <f>T4147+U4147</f>
        <v>5461.2</v>
      </c>
      <c r="W4147" s="2">
        <v>3345.125</v>
      </c>
      <c r="X4147" s="5">
        <f>(T4147-W4147)/T4147</f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>T4148*23%</f>
        <v>2300</v>
      </c>
      <c r="V4148" s="10">
        <f>T4148+U4148</f>
        <v>12300</v>
      </c>
      <c r="W4148" s="2">
        <f>3681.98*2</f>
        <v>7363.96</v>
      </c>
      <c r="X4148" s="5">
        <f>(T4148-W4148)/T4148</f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>T4149*23%</f>
        <v>602.6</v>
      </c>
      <c r="V4149" s="10">
        <f>T4149+U4149</f>
        <v>3222.6</v>
      </c>
      <c r="W4149" s="2">
        <v>1978.46</v>
      </c>
      <c r="X4149" s="5">
        <f>(T4149-W4149)/T4149</f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>T4150*23%</f>
        <v>114.77000000000001</v>
      </c>
      <c r="V4150" s="10">
        <f>T4150+U4150</f>
        <v>613.77</v>
      </c>
      <c r="W4150" s="2">
        <v>297</v>
      </c>
      <c r="X4150" s="5">
        <f>(T4150-W4150)/T4150</f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>T4150-W4150</f>
        <v>202</v>
      </c>
      <c r="AL4150" s="5">
        <f>(T4150-W4150)/T4150</f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>T4151*23%</f>
        <v>0</v>
      </c>
      <c r="V4151" s="10">
        <f>T4151+U4151</f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>T4152*23%</f>
        <v>0</v>
      </c>
      <c r="V4152" s="10">
        <f>T4152+U4152</f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>T4153*23%</f>
        <v>8.2800000000000011</v>
      </c>
      <c r="V4153" s="10">
        <f>T4153+U4153</f>
        <v>44.28</v>
      </c>
      <c r="X4153" s="5">
        <f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>(T4154-W4154)/T4154</f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>T4155-W4155</f>
        <v>30.990000000000002</v>
      </c>
      <c r="AL4155" s="5">
        <f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>T4156-W4156</f>
        <v>15.7926</v>
      </c>
      <c r="AL4156" s="5">
        <f>(T4156-W4156)/T4156</f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>T4157-W4157</f>
        <v>18.917999999999999</v>
      </c>
      <c r="AL4157" s="5">
        <f>(T4157-W4157)/T4157</f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>T4158*23%</f>
        <v>92</v>
      </c>
      <c r="V4158" s="10">
        <f>T4158+U4158</f>
        <v>492</v>
      </c>
      <c r="W4158" s="2">
        <f>14.5099*S4158</f>
        <v>290.19799999999998</v>
      </c>
      <c r="X4158" s="5">
        <f>(T4158-W4158)/T4158</f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>T4158-W4158</f>
        <v>109.80200000000002</v>
      </c>
      <c r="AL4158" s="5">
        <f>(T4158-W4158)/T4158</f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>T4159*23%</f>
        <v>92</v>
      </c>
      <c r="V4159" s="10">
        <f>T4159+U4159</f>
        <v>492</v>
      </c>
      <c r="W4159" s="2">
        <f>14.5099*S4159</f>
        <v>290.19799999999998</v>
      </c>
      <c r="X4159" s="5">
        <f>(T4159-W4159)/T4159</f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>T4159-W4159</f>
        <v>109.80200000000002</v>
      </c>
      <c r="AL4159" s="5">
        <f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>T4160*23%</f>
        <v>46</v>
      </c>
      <c r="V4160" s="10">
        <f>T4160+U4160</f>
        <v>246</v>
      </c>
      <c r="W4160" s="2">
        <f>110.125+11.77</f>
        <v>121.895</v>
      </c>
      <c r="X4160" s="5">
        <f>(T4160-W4160)/T4160</f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>AI4160*T4160</f>
        <v>0</v>
      </c>
      <c r="AK4160" s="2">
        <f>T4160-W4160</f>
        <v>78.105000000000004</v>
      </c>
      <c r="AL4160" s="5">
        <f>(T4160-W4160)/T4160</f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>T4161*23%</f>
        <v>0.34040000000000004</v>
      </c>
      <c r="V4161" s="10">
        <f>T4161+U4161</f>
        <v>1.8204</v>
      </c>
      <c r="W4161" s="2">
        <f>1.48*S4161</f>
        <v>1.48</v>
      </c>
      <c r="X4161" s="5">
        <f>(T4161-W4161)/T4161</f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>AI4161*T4161</f>
        <v>0</v>
      </c>
      <c r="AK4161" s="2">
        <f>T4161-W4161</f>
        <v>0</v>
      </c>
      <c r="AL4161" s="5">
        <f>(T4161-W4161)/T4161</f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>T4162*23%</f>
        <v>31.51</v>
      </c>
      <c r="V4162" s="2">
        <f>T4162+U4162</f>
        <v>168.51</v>
      </c>
      <c r="W4162" s="2">
        <f>T4162*40%</f>
        <v>54.800000000000004</v>
      </c>
      <c r="X4162" s="5">
        <f>(T4162-W4162)/T4162</f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>AI4162*T4162</f>
        <v>0</v>
      </c>
      <c r="AK4162" s="2">
        <f>T4162-W4162</f>
        <v>82.199999999999989</v>
      </c>
      <c r="AL4162" s="5">
        <f>(T4162-W4162)/T4162</f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>T4163*23%</f>
        <v>18.975000000000001</v>
      </c>
      <c r="V4163" s="2">
        <f>T4163+U4163</f>
        <v>101.47499999999999</v>
      </c>
      <c r="W4163" s="2">
        <f>T4163*50%</f>
        <v>41.25</v>
      </c>
      <c r="X4163" s="5">
        <f>(T4163-W4163)/T4163</f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>AI4163*T4163</f>
        <v>0</v>
      </c>
      <c r="AK4163" s="2">
        <f>T4163-W4163</f>
        <v>41.25</v>
      </c>
      <c r="AL4163" s="5">
        <f>(T4163-W4163)/T4163</f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>T4164*23%</f>
        <v>62.1</v>
      </c>
      <c r="V4164" s="10">
        <f>T4164+U4164</f>
        <v>332.1</v>
      </c>
      <c r="W4164" s="2">
        <v>139.46</v>
      </c>
      <c r="X4164" s="5">
        <f>(T4164-W4164)/T4164</f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>AI4164*T4164</f>
        <v>0</v>
      </c>
      <c r="AK4164" s="2">
        <f>T4164-W4164</f>
        <v>130.54</v>
      </c>
      <c r="AL4164" s="5">
        <f>(T4164-W4164)/T4164</f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>T4165*23%</f>
        <v>0.34040000000000004</v>
      </c>
      <c r="V4165" s="10">
        <f>T4165+U4165</f>
        <v>1.8204</v>
      </c>
      <c r="W4165" s="2">
        <f>1.48*S4165</f>
        <v>1.48</v>
      </c>
      <c r="X4165" s="5">
        <f>(T4165-W4165)/T4165</f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>AI4165*T4165</f>
        <v>0</v>
      </c>
      <c r="AK4165" s="2">
        <f>T4165-W4165</f>
        <v>0</v>
      </c>
      <c r="AL4165" s="5">
        <f>(T4165-W4165)/T4165</f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>T4166*23%</f>
        <v>30.985600000000002</v>
      </c>
      <c r="V4166" s="10">
        <f>T4166+U4166</f>
        <v>165.7056</v>
      </c>
      <c r="X4166" s="5">
        <f>(T4166-W4166)/T4166</f>
        <v>1</v>
      </c>
      <c r="AI4166" s="2"/>
      <c r="AK4166" s="2">
        <f>T4166-W4166</f>
        <v>134.72</v>
      </c>
      <c r="AL4166" s="5">
        <f>(T4166-W4166)/T4166</f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>T4167*23%</f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>T4168*23%</f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>T4169*23%</f>
        <v>6.21</v>
      </c>
      <c r="V4169" s="10">
        <f>T4169+U4169</f>
        <v>33.21</v>
      </c>
      <c r="X4169" s="5">
        <f>(T4169-W4169)/T4169</f>
        <v>1</v>
      </c>
      <c r="Z4169" s="2" t="s">
        <v>120</v>
      </c>
      <c r="AA4169" s="2" t="s">
        <v>3384</v>
      </c>
      <c r="AI4169" s="2"/>
      <c r="AK4169" s="2">
        <f>T4169-W4169</f>
        <v>27</v>
      </c>
      <c r="AL4169" s="5">
        <f>(T4169-W4169)/T4169</f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>T4170*23%</f>
        <v>44.160000000000004</v>
      </c>
      <c r="V4170" s="10">
        <f>T4170+U4170</f>
        <v>236.16</v>
      </c>
      <c r="W4170" s="2">
        <f>14.5099*S4170</f>
        <v>116.0792</v>
      </c>
      <c r="X4170" s="5">
        <f>(T4170-W4170)/T4170</f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>T4170-W4170</f>
        <v>75.9208</v>
      </c>
      <c r="AL4170" s="5">
        <f>(T4170-W4170)/T4170</f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109</v>
      </c>
      <c r="F4171" s="2" t="s">
        <v>39</v>
      </c>
      <c r="G4171" s="2">
        <v>507016173</v>
      </c>
      <c r="H4171" s="2" t="s">
        <v>110</v>
      </c>
      <c r="I4171" s="2" t="s">
        <v>460</v>
      </c>
      <c r="J4171" s="2" t="s">
        <v>461</v>
      </c>
      <c r="L4171" s="2" t="s">
        <v>462</v>
      </c>
      <c r="M4171" s="2" t="s">
        <v>41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>T4171*23%</f>
        <v>16.100000000000001</v>
      </c>
      <c r="V4171" s="10">
        <f>T4171+U4171</f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>T4171-W4171</f>
        <v>24.300000000000004</v>
      </c>
      <c r="AL4171" s="5">
        <f>(T4171-W4171)/T4171</f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>T4172*23%</f>
        <v>46</v>
      </c>
      <c r="V4172" s="10">
        <f>T4172+U4172</f>
        <v>246</v>
      </c>
      <c r="W4172" s="2">
        <v>120.636</v>
      </c>
      <c r="X4172" s="5">
        <f>(T4172-W4172)/T4172</f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>T4173*23%</f>
        <v>6.9</v>
      </c>
      <c r="V4173" s="10">
        <f>T4173+U4173</f>
        <v>36.9</v>
      </c>
      <c r="W4173" s="2">
        <v>28</v>
      </c>
      <c r="X4173" s="5">
        <f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>T4174*23%</f>
        <v>0.34040000000000004</v>
      </c>
      <c r="V4174" s="10">
        <f>T4174+U4174</f>
        <v>1.8204</v>
      </c>
      <c r="W4174" s="2">
        <f>1.48*S4174</f>
        <v>1.48</v>
      </c>
      <c r="X4174" s="5">
        <f>(T4174-W4174)/T4174</f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>T4174-W4174</f>
        <v>0</v>
      </c>
      <c r="AL4174" s="5">
        <f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3402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>T4175*23%</f>
        <v>1377.7</v>
      </c>
      <c r="V4175" s="10">
        <f>U4175+T4175</f>
        <v>7367.7</v>
      </c>
      <c r="W4175" s="2">
        <v>4214</v>
      </c>
      <c r="X4175" s="5">
        <f>(T4175-W4175)/T4175</f>
        <v>0.29649415692821368</v>
      </c>
      <c r="Z4175" s="2" t="s">
        <v>105</v>
      </c>
      <c r="AA4175" s="2" t="s">
        <v>2750</v>
      </c>
      <c r="AB4175" s="2" t="s">
        <v>3401</v>
      </c>
      <c r="AC4175" s="2" t="s">
        <v>1196</v>
      </c>
      <c r="AI4175" s="2"/>
      <c r="AK4175" s="2">
        <f>T4175-W4175</f>
        <v>1776</v>
      </c>
      <c r="AL4175" s="5">
        <f>(T4175-W4175)/T4175</f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>T4176*23%</f>
        <v>13.8</v>
      </c>
      <c r="V4176" s="2">
        <f>T4176+U4176</f>
        <v>73.8</v>
      </c>
      <c r="W4176" s="2">
        <f>T4176*40%</f>
        <v>24</v>
      </c>
      <c r="X4176" s="5">
        <f>(T4176-W4176)/T4176</f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>T4176-W4176</f>
        <v>36</v>
      </c>
      <c r="AL4176" s="5">
        <f>(T4176-W4176)/T4176</f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>T4177*23%</f>
        <v>25.3</v>
      </c>
      <c r="V4177" s="2">
        <f>T4177+U4177</f>
        <v>135.30000000000001</v>
      </c>
      <c r="W4177" s="2">
        <f>T4177*50%</f>
        <v>55</v>
      </c>
      <c r="X4177" s="5">
        <f>(T4177-W4177)/T4177</f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>T4177-W4177</f>
        <v>55</v>
      </c>
      <c r="AL4177" s="5">
        <f>(T4177-W4177)/T4177</f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>T4178*23%</f>
        <v>21.16</v>
      </c>
      <c r="V4178" s="2">
        <f>T4178+U4178</f>
        <v>113.16</v>
      </c>
      <c r="W4178" s="2">
        <f>T4178*40%</f>
        <v>36.800000000000004</v>
      </c>
      <c r="X4178" s="5">
        <f>(T4178-W4178)/T4178</f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>T4178-W4178</f>
        <v>55.199999999999996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>T4179*23%</f>
        <v>12.65</v>
      </c>
      <c r="V4179" s="2">
        <f>T4179+U4179</f>
        <v>67.650000000000006</v>
      </c>
      <c r="W4179" s="2">
        <f>T4179*50%</f>
        <v>27.5</v>
      </c>
      <c r="X4179" s="5">
        <f>(T4179-W4179)/T4179</f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>T4179-W4179</f>
        <v>27.5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>T4180*23%</f>
        <v>22.983900000000002</v>
      </c>
      <c r="V4180" s="10">
        <f>T4180+U4180</f>
        <v>122.91390000000001</v>
      </c>
      <c r="X4180" s="5">
        <f>(T4180-W4180)/T4180</f>
        <v>1</v>
      </c>
      <c r="AI4180" s="2"/>
      <c r="AK4180" s="2">
        <f>T4180-W4180</f>
        <v>99.93</v>
      </c>
      <c r="AL4180" s="5">
        <f>(T4180-W4180)/T4180</f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>T4181*23%</f>
        <v>23</v>
      </c>
      <c r="V4181" s="10">
        <f>T4181+U4181</f>
        <v>123</v>
      </c>
      <c r="W4181" s="2">
        <f>14.5099*S4181</f>
        <v>58.0396</v>
      </c>
      <c r="X4181" s="5">
        <f>(T4181-W4181)/T4181</f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>T4181-W4181</f>
        <v>41.9604</v>
      </c>
      <c r="AL4181" s="5">
        <f>(T4181-W4181)/T4181</f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>T4182*23%</f>
        <v>23</v>
      </c>
      <c r="V4182" s="10">
        <f>T4182+U4182</f>
        <v>123</v>
      </c>
      <c r="W4182" s="2">
        <f>14.5099*S4182</f>
        <v>58.0396</v>
      </c>
      <c r="X4182" s="5">
        <f>(T4182-W4182)/T4182</f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>T4182-W4182</f>
        <v>41.9604</v>
      </c>
      <c r="AL4182" s="5">
        <f>(T4182-W4182)/T4182</f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>T4183*23%</f>
        <v>156.14930000000001</v>
      </c>
      <c r="V4183" s="10">
        <f>T4183+U4183</f>
        <v>835.05930000000001</v>
      </c>
      <c r="X4183" s="5">
        <f>(T4183-W4183)/T4183</f>
        <v>1</v>
      </c>
      <c r="Z4183" s="2" t="s">
        <v>120</v>
      </c>
      <c r="AA4183" s="2" t="s">
        <v>493</v>
      </c>
      <c r="AI4183" s="2"/>
      <c r="AK4183" s="2">
        <f>T4183-W4183</f>
        <v>678.91</v>
      </c>
      <c r="AL4183" s="5">
        <f>(T4183-W4183)/T4183</f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>T4184*23%</f>
        <v>13.8</v>
      </c>
      <c r="V4184" s="2">
        <f>T4184+U4184</f>
        <v>73.8</v>
      </c>
      <c r="W4184" s="2">
        <f>T4184*40%</f>
        <v>24</v>
      </c>
      <c r="X4184" s="5">
        <f>(T4184-W4184)/T4184</f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>T4184-W4184</f>
        <v>36</v>
      </c>
      <c r="AL4184" s="5">
        <f>(T4184-W4184)/T4184</f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>T4185*23%</f>
        <v>50.6</v>
      </c>
      <c r="V4185" s="2">
        <f>T4185+U4185</f>
        <v>270.60000000000002</v>
      </c>
      <c r="W4185" s="2">
        <f>T4185*50%</f>
        <v>110</v>
      </c>
      <c r="X4185" s="5">
        <f>(T4185-W4185)/T4185</f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>T4185-W4185</f>
        <v>110</v>
      </c>
      <c r="AL4185" s="5">
        <f>(T4185-W4185)/T4185</f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>T4186*23%</f>
        <v>12.42</v>
      </c>
      <c r="V4186" s="10">
        <f>T4186+U4186</f>
        <v>66.42</v>
      </c>
      <c r="W4186" s="2">
        <f>10.6*S4186</f>
        <v>31.799999999999997</v>
      </c>
      <c r="X4186" s="5">
        <f>(T4186-W4186)/T4186</f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>T4186-W4186</f>
        <v>22.200000000000003</v>
      </c>
      <c r="AL4186" s="5">
        <f>(T4186-W4186)/T4186</f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>T4187*23%</f>
        <v>1.84</v>
      </c>
      <c r="V4187" s="10">
        <f>T4187+U4187</f>
        <v>9.84</v>
      </c>
      <c r="X4187" s="5">
        <f>(T4187-W4187)/T4187</f>
        <v>1</v>
      </c>
      <c r="Z4187" s="2" t="s">
        <v>170</v>
      </c>
      <c r="AA4187" s="2" t="s">
        <v>170</v>
      </c>
      <c r="AI4187" s="2"/>
      <c r="AK4187" s="2">
        <f>T4187-W4187</f>
        <v>8</v>
      </c>
      <c r="AL4187" s="5">
        <f>(T4187-W4187)/T4187</f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>T4188*23%</f>
        <v>23</v>
      </c>
      <c r="V4188" s="10">
        <f>T4188+U4188</f>
        <v>123</v>
      </c>
      <c r="W4188" s="2">
        <f>W3923*S4188</f>
        <v>71.56</v>
      </c>
      <c r="X4188" s="5">
        <f>(T4188-W4188)/T4188</f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>T4188-W4188</f>
        <v>28.439999999999998</v>
      </c>
      <c r="AL4188" s="5">
        <f>(T4188-W4188)/T4188</f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>(T4189-W4189)/T4189</f>
        <v>1</v>
      </c>
      <c r="Z4189" s="2" t="s">
        <v>170</v>
      </c>
      <c r="AA4189" s="2" t="s">
        <v>170</v>
      </c>
      <c r="AI4189" s="2"/>
      <c r="AK4189" s="2">
        <f>T4189-W4189</f>
        <v>8</v>
      </c>
      <c r="AL4189" s="5">
        <f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>T4190*23%</f>
        <v>-43.221600000000002</v>
      </c>
      <c r="V4190" s="10">
        <f>T4190+U4190</f>
        <v>-231.14159999999998</v>
      </c>
      <c r="AI4190" s="2"/>
      <c r="AK4190" s="2">
        <f>T4190-W4190</f>
        <v>-187.92</v>
      </c>
      <c r="AL4190" s="5">
        <f>(T4190-W4190)/T4190</f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>T4191*23%</f>
        <v>-6.5274000000000001</v>
      </c>
      <c r="V4191" s="10">
        <f>T4191+U4191</f>
        <v>-34.907399999999996</v>
      </c>
      <c r="X4191" s="5">
        <f>(T4191-W4191)/T4191</f>
        <v>1</v>
      </c>
      <c r="AI4191" s="2"/>
      <c r="AK4191" s="2">
        <f>T4191-W4191</f>
        <v>-28.38</v>
      </c>
      <c r="AL4191" s="5">
        <f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>T4192*23%</f>
        <v>-21.62</v>
      </c>
      <c r="V4192" s="2">
        <f>T4192+U4192</f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>T4192-W4192</f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>T4193*23%</f>
        <v>-12.65</v>
      </c>
      <c r="V4193" s="2">
        <f>T4193+U4193</f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>T4193-W4193</f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>T4194*23%</f>
        <v>-20.125</v>
      </c>
      <c r="V4194" s="10">
        <f>T4194+U4194</f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>T4195*23%</f>
        <v>11.040000000000001</v>
      </c>
      <c r="V4195" s="10">
        <f>T4195+U4195</f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>T4196*23%</f>
        <v>50.6</v>
      </c>
      <c r="V4196" s="10">
        <f>T4196+U4196</f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>T4197*23%</f>
        <v>0.34040000000000004</v>
      </c>
      <c r="V4197" s="10">
        <f>T4197+U4197</f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>T4198*23%</f>
        <v>-73.160699999999991</v>
      </c>
      <c r="V4198" s="10">
        <f>T4198+U4198</f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>T4199*23%</f>
        <v>15.019</v>
      </c>
      <c r="V4199" s="10">
        <f>T4199+U4199</f>
        <v>80.319000000000003</v>
      </c>
      <c r="X4199" s="5">
        <f>(T4199-W4199)/T4199</f>
        <v>1</v>
      </c>
      <c r="Z4199" s="2" t="s">
        <v>120</v>
      </c>
      <c r="AA4199" s="2" t="s">
        <v>3384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>T4200*23%</f>
        <v>482.56070000000005</v>
      </c>
      <c r="V4200" s="10">
        <f>T4200+U4200</f>
        <v>2580.6507000000001</v>
      </c>
      <c r="X4200" s="5">
        <f>(T4200-W4200)/T4200</f>
        <v>1</v>
      </c>
      <c r="Z4200" s="2" t="s">
        <v>120</v>
      </c>
      <c r="AA4200" s="2" t="s">
        <v>3296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>T4201*23%</f>
        <v>42.398200000000003</v>
      </c>
      <c r="V4201" s="10">
        <f>T4201+U4201</f>
        <v>226.73820000000001</v>
      </c>
      <c r="W4201" s="2">
        <v>69.67</v>
      </c>
      <c r="X4201" s="5">
        <f>(T4201-W4201)/T4201</f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>T4202*23%</f>
        <v>5.98</v>
      </c>
      <c r="V4202" s="10">
        <f>T4202+U4202</f>
        <v>31.98</v>
      </c>
      <c r="W4202" s="2">
        <f>6.6267*S4202</f>
        <v>13.253399999999999</v>
      </c>
      <c r="X4202" s="5">
        <f>(T4202-W4202)/T4202</f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>AI4202*T4202</f>
        <v>0</v>
      </c>
      <c r="AK4202" s="2">
        <f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>T4203*23%</f>
        <v>2.0286</v>
      </c>
      <c r="V4203" s="10">
        <f>T4203+U4203</f>
        <v>10.848600000000001</v>
      </c>
      <c r="W4203" s="2">
        <f>1.32*S4203</f>
        <v>7.92</v>
      </c>
      <c r="X4203" s="5">
        <f>(T4203-W4203)/T4203</f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>AI4203*T4203</f>
        <v>0</v>
      </c>
      <c r="AK4203" s="2">
        <f>T4203-W4203</f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>T4204*23%</f>
        <v>3.3809999999999998</v>
      </c>
      <c r="V4204" s="10">
        <f>T4204+U4204</f>
        <v>18.081</v>
      </c>
      <c r="W4204" s="2">
        <f>1.7*S4204</f>
        <v>10.199999999999999</v>
      </c>
      <c r="X4204" s="5">
        <f>(T4204-W4204)/T4204</f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>AI4204*T4204</f>
        <v>0</v>
      </c>
      <c r="AK4204" s="2">
        <f>T4204-W4204</f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>T4205*23%</f>
        <v>0</v>
      </c>
      <c r="V4205" s="2">
        <f>T4205+U4205</f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>AI4205*T4205</f>
        <v>0</v>
      </c>
      <c r="AK4205" s="2">
        <f>T4205-W4205</f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>T4206*23%</f>
        <v>12.65</v>
      </c>
      <c r="V4206" s="2">
        <f>T4206+U4206</f>
        <v>67.650000000000006</v>
      </c>
      <c r="W4206" s="2">
        <f>T4206*50%</f>
        <v>27.5</v>
      </c>
      <c r="X4206" s="5">
        <f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>AI4206*T4206</f>
        <v>0</v>
      </c>
      <c r="AK4206" s="2">
        <f>T4206-W4206</f>
        <v>27.5</v>
      </c>
      <c r="AL4206" s="5">
        <f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>T4207*23%</f>
        <v>28.75</v>
      </c>
      <c r="V4207" s="2">
        <f>T4207+U4207</f>
        <v>153.75</v>
      </c>
      <c r="W4207" s="2">
        <f>T4207*40%</f>
        <v>50</v>
      </c>
      <c r="X4207" s="5">
        <f>(T4207-W4207)/T4207</f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>AI4207*T4207</f>
        <v>0</v>
      </c>
      <c r="AK4207" s="2">
        <f>T4207-W4207</f>
        <v>75</v>
      </c>
      <c r="AL4207" s="5">
        <f>(T4207-W4207)/T4207</f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>T4208*23%</f>
        <v>12.65</v>
      </c>
      <c r="V4208" s="2">
        <f>T4208+U4208</f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>AI4208*T4208</f>
        <v>0</v>
      </c>
      <c r="AK4208" s="2">
        <f>T4208-W4208</f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 t="s">
        <v>3396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>T4209*23%</f>
        <v>1.5870000000000002</v>
      </c>
      <c r="V4209" s="2">
        <f>T4209+U4209</f>
        <v>8.4870000000000001</v>
      </c>
      <c r="W4209" s="2">
        <f>5.135*S4209</f>
        <v>5.1349999999999998</v>
      </c>
      <c r="X4209" s="5">
        <f>(T4209-W4209)/T4209</f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>T4209-W4209</f>
        <v>1.7650000000000006</v>
      </c>
      <c r="AL4209" s="5">
        <f>(T4209-W4209)/T4209</f>
        <v>0.25579710144927542</v>
      </c>
    </row>
    <row r="4210" spans="1:38" x14ac:dyDescent="0.2">
      <c r="A4210" s="8">
        <v>2026</v>
      </c>
      <c r="B4210" s="8">
        <v>6</v>
      </c>
      <c r="C4210" s="8" t="s">
        <v>3396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>T4210*23%</f>
        <v>1.6652</v>
      </c>
      <c r="V4210" s="2">
        <f>T4210+U4210</f>
        <v>8.9052000000000007</v>
      </c>
      <c r="W4210" s="2">
        <v>5.07</v>
      </c>
      <c r="X4210" s="5">
        <f>(T4210-W4210)/T4210</f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>T4210-W4210</f>
        <v>2.17</v>
      </c>
      <c r="AL4210" s="5">
        <f>(T4210-W4210)/T4210</f>
        <v>0.29972375690607733</v>
      </c>
    </row>
    <row r="4211" spans="1:38" x14ac:dyDescent="0.2">
      <c r="A4211" s="8">
        <v>2026</v>
      </c>
      <c r="B4211" s="8">
        <v>6</v>
      </c>
      <c r="C4211" s="8" t="s">
        <v>3396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>T4211*23%</f>
        <v>1.6652</v>
      </c>
      <c r="V4211" s="2">
        <f>T4211+U4211</f>
        <v>8.9052000000000007</v>
      </c>
      <c r="W4211" s="2">
        <v>5.07</v>
      </c>
      <c r="X4211" s="5">
        <f>(T4211-W4211)/T4211</f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>T4211-W4211</f>
        <v>2.17</v>
      </c>
      <c r="AL4211" s="5">
        <f>(T4211-W4211)/T4211</f>
        <v>0.29972375690607733</v>
      </c>
    </row>
    <row r="4212" spans="1:38" x14ac:dyDescent="0.2">
      <c r="A4212" s="8">
        <v>2026</v>
      </c>
      <c r="B4212" s="8">
        <v>6</v>
      </c>
      <c r="C4212" s="8" t="s">
        <v>3396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>T4212*23%</f>
        <v>1.6652</v>
      </c>
      <c r="V4212" s="2">
        <f>T4212+U4212</f>
        <v>8.9052000000000007</v>
      </c>
      <c r="W4212" s="2">
        <f>5.07</f>
        <v>5.07</v>
      </c>
      <c r="X4212" s="5">
        <f>(T4212-W4212)/T4212</f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>T4212-W4212</f>
        <v>2.17</v>
      </c>
      <c r="AL4212" s="5">
        <f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3396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>T4213*23%</f>
        <v>3.887</v>
      </c>
      <c r="V4213" s="2">
        <f>T4213+U4213</f>
        <v>20.786999999999999</v>
      </c>
      <c r="W4213" s="2">
        <f>12.68</f>
        <v>12.68</v>
      </c>
      <c r="X4213" s="5">
        <f>(T4213-W4213)/T4213</f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>T4213-W4213</f>
        <v>4.2199999999999989</v>
      </c>
      <c r="AL4213" s="5">
        <f>(T4213-W4213)/T4213</f>
        <v>0.24970414201183427</v>
      </c>
    </row>
    <row r="4214" spans="1:38" x14ac:dyDescent="0.2">
      <c r="A4214" s="8">
        <v>2026</v>
      </c>
      <c r="B4214" s="8">
        <v>6</v>
      </c>
      <c r="C4214" s="8" t="s">
        <v>3396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>T4214*23%</f>
        <v>4.37</v>
      </c>
      <c r="V4214" s="2">
        <f>T4214+U4214</f>
        <v>23.37</v>
      </c>
      <c r="W4214" s="2">
        <f>14.25</f>
        <v>14.25</v>
      </c>
      <c r="X4214" s="5">
        <f>(T4214-W4214)/T4214</f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>T4214-W4214</f>
        <v>4.75</v>
      </c>
      <c r="AL4214" s="5">
        <f>(T4214-W4214)/T4214</f>
        <v>0.25</v>
      </c>
    </row>
    <row r="4215" spans="1:38" x14ac:dyDescent="0.2">
      <c r="A4215" s="8">
        <v>2026</v>
      </c>
      <c r="B4215" s="8">
        <v>6</v>
      </c>
      <c r="C4215" s="8" t="s">
        <v>3396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>T4215*23%</f>
        <v>10.005000000000001</v>
      </c>
      <c r="V4215" s="2">
        <f>T4215+U4215</f>
        <v>53.505000000000003</v>
      </c>
      <c r="W4215" s="2">
        <f>32.63</f>
        <v>32.630000000000003</v>
      </c>
      <c r="X4215" s="5">
        <f>(T4215-W4215)/T4215</f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>T4215-W4215</f>
        <v>10.869999999999997</v>
      </c>
      <c r="AL4215" s="5">
        <f>(T4215-W4215)/T4215</f>
        <v>0.2498850574712643</v>
      </c>
    </row>
    <row r="4216" spans="1:38" x14ac:dyDescent="0.2">
      <c r="A4216" s="8">
        <v>2026</v>
      </c>
      <c r="B4216" s="8">
        <v>6</v>
      </c>
      <c r="C4216" s="8" t="s">
        <v>3396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>T4216*23%</f>
        <v>3.1280000000000001</v>
      </c>
      <c r="V4216" s="2">
        <f>T4216+U4216</f>
        <v>16.728000000000002</v>
      </c>
      <c r="W4216" s="2">
        <f>10.2</f>
        <v>10.199999999999999</v>
      </c>
      <c r="X4216" s="5">
        <f>(T4216-W4216)/T4216</f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>T4216-W4216</f>
        <v>3.4000000000000004</v>
      </c>
      <c r="AL4216" s="5">
        <f>(T4216-W4216)/T4216</f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>T4217*23%</f>
        <v>9.89</v>
      </c>
      <c r="V4217" s="2">
        <f>T4217+U4217</f>
        <v>52.89</v>
      </c>
      <c r="W4217" s="2">
        <v>35.49</v>
      </c>
      <c r="X4217" s="5">
        <f>(T4217-W4217)/T4217</f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3440</v>
      </c>
      <c r="AI4217" s="2"/>
      <c r="AK4217" s="2">
        <f>T4217-W4217</f>
        <v>7.509999999999998</v>
      </c>
      <c r="AL4217" s="5">
        <f>(T4217-W4217)/T4217</f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>T4218*23%</f>
        <v>45.54</v>
      </c>
      <c r="V4218" s="2">
        <f>T4218+U4218</f>
        <v>243.54</v>
      </c>
      <c r="W4218" s="2">
        <v>148.5</v>
      </c>
      <c r="X4218" s="5">
        <f>(T4218-W4218)/T4218</f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>T4218-W4218</f>
        <v>49.5</v>
      </c>
      <c r="AL4218" s="5">
        <f>(T4218-W4218)/T4218</f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>T4219*23%</f>
        <v>690</v>
      </c>
      <c r="V4219" s="10">
        <f>T4219+U4219</f>
        <v>3690</v>
      </c>
      <c r="W4219" s="2">
        <f>T4219*75%</f>
        <v>2250</v>
      </c>
      <c r="X4219" s="5">
        <f>(T4219-W4219)/T4219</f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>T4219-W4219</f>
        <v>750</v>
      </c>
      <c r="AL4219" s="5">
        <f>(T4219-W4219)/T4219</f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>T4220*23%</f>
        <v>55.2</v>
      </c>
      <c r="V4220" s="2">
        <f>T4220+U4220</f>
        <v>295.2</v>
      </c>
      <c r="W4220" s="2">
        <v>128.99</v>
      </c>
      <c r="X4220" s="5">
        <f>(T4220-W4220)/T4220</f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>T4220-W4220</f>
        <v>111.00999999999999</v>
      </c>
      <c r="AL4220" s="5">
        <f>(T4220-W4220)/T4220</f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>T4221*23%</f>
        <v>6.9</v>
      </c>
      <c r="V4221" s="10">
        <f>T4221+U4221</f>
        <v>36.9</v>
      </c>
      <c r="W4221" s="2">
        <v>28</v>
      </c>
      <c r="X4221" s="5">
        <f>(T4221-W4221)/T4221</f>
        <v>6.6666666666666666E-2</v>
      </c>
      <c r="Z4221" s="2" t="s">
        <v>170</v>
      </c>
      <c r="AA4221" s="2" t="s">
        <v>170</v>
      </c>
      <c r="AI4221" s="2"/>
      <c r="AK4221" s="2">
        <f>T4221-W4221</f>
        <v>2</v>
      </c>
      <c r="AL4221" s="5">
        <f>(T4221-W4221)/T4221</f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>T4222-W4222</f>
        <v>0</v>
      </c>
      <c r="AL4222" s="5">
        <f>(T4222-W4222)/T4222</f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>T4223*23%</f>
        <v>64.094100000000012</v>
      </c>
      <c r="V4223" s="2">
        <f>T4223+U4223</f>
        <v>342.76410000000004</v>
      </c>
      <c r="W4223" s="2">
        <f>134.41</f>
        <v>134.41</v>
      </c>
      <c r="X4223" s="5">
        <f>(T4223-W4223)/T4223</f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>T4223-W4223</f>
        <v>144.26000000000002</v>
      </c>
      <c r="AL4223" s="2">
        <f>(T4223-W4223)/T4223</f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>T4224*23%</f>
        <v>33.81</v>
      </c>
      <c r="V4224" s="2">
        <f>T4224+U4224</f>
        <v>180.81</v>
      </c>
      <c r="W4224" s="2">
        <f>T4224*40%</f>
        <v>58.800000000000004</v>
      </c>
      <c r="X4224" s="5">
        <f>(T4224-W4224)/T4224</f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>T4224-W4224</f>
        <v>88.199999999999989</v>
      </c>
      <c r="AL4224" s="5">
        <f>(T4224-W4224)/T4224</f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>T4225*23%</f>
        <v>25.3</v>
      </c>
      <c r="V4225" s="2">
        <f>T4225+U4225</f>
        <v>135.30000000000001</v>
      </c>
      <c r="W4225" s="2">
        <f>T4225*50%</f>
        <v>55</v>
      </c>
      <c r="X4225" s="5">
        <f>(T4225-W4225)/T4225</f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>T4225-W4225</f>
        <v>55</v>
      </c>
      <c r="AL4225" s="5">
        <f>(T4225-W4225)/T4225</f>
        <v>0.5</v>
      </c>
    </row>
    <row r="4226" spans="1:38" x14ac:dyDescent="0.2">
      <c r="A4226" s="8">
        <v>2026</v>
      </c>
      <c r="B4226" s="8">
        <v>6</v>
      </c>
      <c r="C4226" s="8" t="s">
        <v>3451</v>
      </c>
      <c r="D4226" s="2" t="s">
        <v>2908</v>
      </c>
      <c r="F4226" s="2" t="s">
        <v>3449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>T4226*23%</f>
        <v>13.34</v>
      </c>
      <c r="V4226" s="2">
        <f>T4226+U4226</f>
        <v>71.34</v>
      </c>
      <c r="W4226" s="2">
        <f>14.5099*S4226</f>
        <v>29.0198</v>
      </c>
      <c r="X4226" s="5">
        <f>(T4226-W4226)/T4226</f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>T4226-W4226</f>
        <v>28.9802</v>
      </c>
      <c r="AL4226" s="5">
        <f>(T4226-W4226)/T4226</f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>T4227*23%</f>
        <v>50.572400000000002</v>
      </c>
      <c r="V4227" s="10">
        <f>T4227+U4227</f>
        <v>270.45240000000001</v>
      </c>
      <c r="W4227" s="2">
        <v>125.51600000000001</v>
      </c>
      <c r="X4227" s="5">
        <f>(T4227-W4227)/T4227</f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>T4227-W4227</f>
        <v>94.36399999999999</v>
      </c>
      <c r="AL4227" s="5">
        <f>(T4227-W4227)/T4227</f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>T4228*23%</f>
        <v>61.998800000000003</v>
      </c>
      <c r="V4228" s="2">
        <f>T4228+U4228</f>
        <v>331.55880000000002</v>
      </c>
      <c r="W4228" s="2">
        <v>157.85</v>
      </c>
      <c r="X4228" s="5">
        <f>(T4228-W4228)/T4228</f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>T4228-W4228</f>
        <v>111.71000000000001</v>
      </c>
      <c r="AL4228" s="5">
        <f>(T4228-W4228)/T4228</f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>T4229*23%</f>
        <v>-4.7495000000000003</v>
      </c>
      <c r="V4229" s="10">
        <f>T4229+U4229</f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>T4230*23%</f>
        <v>0.68080000000000007</v>
      </c>
      <c r="V4230" s="10">
        <f>T4230+U4230</f>
        <v>3.6408</v>
      </c>
      <c r="W4230" s="2">
        <f>1.48*S4230</f>
        <v>2.96</v>
      </c>
      <c r="X4230" s="5">
        <f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>T4231*23%</f>
        <v>5.3819999999999997</v>
      </c>
      <c r="V4231" s="10">
        <f>T4231+U4231</f>
        <v>28.781999999999996</v>
      </c>
      <c r="W4231" s="2">
        <v>12.4434</v>
      </c>
      <c r="X4231" s="5">
        <f>(T4231-W4231)/T4231</f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>T4232*23%</f>
        <v>6.9</v>
      </c>
      <c r="V4232" s="10">
        <f>T4232+U4232</f>
        <v>36.9</v>
      </c>
      <c r="X4232" s="5">
        <f>(T4232-W4232)/T4232</f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>T4233*23%</f>
        <v>4.83</v>
      </c>
      <c r="V4233" s="10">
        <f>T4233+U4233</f>
        <v>25.83</v>
      </c>
      <c r="X4233" s="5">
        <f>(T4233-W4233)/T4233</f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>T4234*23%</f>
        <v>8.9700000000000006</v>
      </c>
      <c r="V4234" s="10">
        <f>T4234+U4234</f>
        <v>47.97</v>
      </c>
      <c r="W4234" s="2">
        <f>0.082*S4234</f>
        <v>24.6</v>
      </c>
      <c r="X4234" s="5">
        <f>(T4234-W4234)/T4234</f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>T4235*23%</f>
        <v>8.2800000000000011</v>
      </c>
      <c r="V4235" s="10">
        <f>T4235+U4235</f>
        <v>44.28</v>
      </c>
      <c r="X4235" s="5">
        <f>(T4235-W4235)/T4235</f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>T4237*23%</f>
        <v>62.1</v>
      </c>
      <c r="V4237" s="2">
        <f>T4237+U4237</f>
        <v>332.1</v>
      </c>
      <c r="W4237" s="2">
        <v>141.16</v>
      </c>
      <c r="X4237" s="5">
        <f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>T4238*23%</f>
        <v>0.34040000000000004</v>
      </c>
      <c r="V4238" s="10">
        <f>T4238+U4238</f>
        <v>1.8204</v>
      </c>
      <c r="W4238" s="2">
        <f>1.48*S4238</f>
        <v>1.48</v>
      </c>
      <c r="X4238" s="5">
        <f>(T4238-W4238)/T4238</f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>T4239*23%</f>
        <v>572.70000000000005</v>
      </c>
      <c r="V4239" s="10">
        <f>T4239+U4239</f>
        <v>3062.7</v>
      </c>
      <c r="W4239" s="2">
        <f>1970.05+49</f>
        <v>2019.05</v>
      </c>
      <c r="X4239" s="5">
        <f>(T4239-W4239)/T4239</f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>T4240*23%</f>
        <v>572.70000000000005</v>
      </c>
      <c r="V4240" s="10">
        <f>T4240+U4240</f>
        <v>3062.7</v>
      </c>
      <c r="W4240" s="2">
        <f>1995.2+43.97</f>
        <v>2039.17</v>
      </c>
      <c r="X4240" s="5">
        <f>(T4240-W4240)/T4240</f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>T4241*23%</f>
        <v>36.151400000000002</v>
      </c>
      <c r="V4241" s="10">
        <f>T4241+U4241</f>
        <v>193.3314</v>
      </c>
      <c r="X4241" s="5">
        <f>(T4241-W4241)/T4241</f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>T4242*23%</f>
        <v>6.5711000000000004</v>
      </c>
      <c r="V4242" s="10">
        <f>T4242+U4242</f>
        <v>35.141100000000002</v>
      </c>
      <c r="X4242" s="5">
        <f>(T4242-W4242)/T4242</f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>T4243*23%</f>
        <v>25.3</v>
      </c>
      <c r="V4243" s="10">
        <f>T4243+U4243</f>
        <v>135.30000000000001</v>
      </c>
      <c r="W4243" s="2">
        <f>0.082*S4243</f>
        <v>82</v>
      </c>
      <c r="X4243" s="5">
        <f>(T4243-W4243)/T4243</f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>T4244*23%</f>
        <v>43.221600000000002</v>
      </c>
      <c r="V4244" s="2">
        <f>T4244+U4244</f>
        <v>231.14159999999998</v>
      </c>
      <c r="X4244" s="5">
        <f>(T4244-W4244)/T4244</f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>T4245*23%</f>
        <v>6.5274000000000001</v>
      </c>
      <c r="V4245" s="2">
        <f>T4245+U4245</f>
        <v>34.907399999999996</v>
      </c>
      <c r="X4245" s="5">
        <f>(T4245-W4245)/T4245</f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>T4246*23%</f>
        <v>21.62</v>
      </c>
      <c r="V4246" s="2">
        <f>T4246+U4246</f>
        <v>115.62</v>
      </c>
      <c r="W4246" s="2">
        <f>T4246*40%</f>
        <v>37.6</v>
      </c>
      <c r="X4246" s="5">
        <f>(T4246-W4246)/T4246</f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>T4247*23%</f>
        <v>12.65</v>
      </c>
      <c r="V4247" s="2">
        <f>T4247+U4247</f>
        <v>67.650000000000006</v>
      </c>
      <c r="W4247" s="2">
        <f>T4247*50%</f>
        <v>27.5</v>
      </c>
      <c r="X4247" s="5">
        <f>(T4247-W4247)/T4247</f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>T4248*23%</f>
        <v>20.125</v>
      </c>
      <c r="V4248" s="10">
        <f>T4248+U4248</f>
        <v>107.625</v>
      </c>
      <c r="X4248" s="5">
        <f>(T4248-W4248)/T4248</f>
        <v>1</v>
      </c>
      <c r="Z4248" s="2" t="s">
        <v>120</v>
      </c>
      <c r="AA4248" s="2" t="s">
        <v>3384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>T4249*23%</f>
        <v>59.248000000000005</v>
      </c>
      <c r="V4249" s="10">
        <f>T4249+U4249</f>
        <v>316.84800000000001</v>
      </c>
      <c r="W4249" s="2">
        <f>130.03+6.8</f>
        <v>136.83000000000001</v>
      </c>
      <c r="X4249" s="5">
        <f>(T4249-W4249)/T4249</f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>T4249-W4249</f>
        <v>120.77000000000001</v>
      </c>
      <c r="AL4249" s="5">
        <f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>T4250*23%</f>
        <v>95.22</v>
      </c>
      <c r="V4250" s="2">
        <f>T4250+U4250</f>
        <v>509.22</v>
      </c>
      <c r="W4250" s="2">
        <v>270.60000000000002</v>
      </c>
      <c r="X4250" s="5">
        <f>(T4250-W4250)/T4250</f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>T4250-W4250</f>
        <v>143.39999999999998</v>
      </c>
      <c r="AL4250" s="5">
        <f>(T4250-W4250)/T4250</f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>T4251*23%</f>
        <v>0.68080000000000007</v>
      </c>
      <c r="V4251" s="10">
        <f>T4251+U4251</f>
        <v>3.6408</v>
      </c>
      <c r="W4251" s="2">
        <f>1.48*S4251</f>
        <v>2.96</v>
      </c>
      <c r="X4251" s="5">
        <f>(T4251-W4251)/T4251</f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>T4251-W4251</f>
        <v>0</v>
      </c>
      <c r="AL4251" s="5">
        <f>(T4251-W4251)/T4251</f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>T4252*23%</f>
        <v>2.0700000000000003</v>
      </c>
      <c r="V4252" s="10">
        <f>T4252+U4252</f>
        <v>11.07</v>
      </c>
      <c r="W4252" s="2">
        <f>3.7358*S4252</f>
        <v>3.7357999999999998</v>
      </c>
      <c r="X4252" s="5">
        <f>(T4252-W4252)/T4252</f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>T4252-W4252</f>
        <v>5.2642000000000007</v>
      </c>
      <c r="AL4252" s="5">
        <f>(T4252-W4252)/T4252</f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>T4253*23%</f>
        <v>48.667999999999999</v>
      </c>
      <c r="V4253" s="10">
        <f>T4253+U4253</f>
        <v>260.26799999999997</v>
      </c>
      <c r="W4253" s="2">
        <f>115.92+6.06</f>
        <v>121.98</v>
      </c>
      <c r="X4253" s="5">
        <f>(T4253-W4253)/T4253</f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>T4253-W4253</f>
        <v>89.61999999999999</v>
      </c>
      <c r="AL4253" s="5">
        <f>(T4253-W4253)/T4253</f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>T4254*23%</f>
        <v>0.34040000000000004</v>
      </c>
      <c r="V4254" s="10">
        <f>T4254+U4254</f>
        <v>1.8204</v>
      </c>
      <c r="W4254" s="2">
        <f>1.48*S4254</f>
        <v>1.48</v>
      </c>
      <c r="X4254" s="5">
        <f>(T4254-W4254)/T4254</f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>T4254-W4254</f>
        <v>0</v>
      </c>
      <c r="AL4254" s="5">
        <f>(T4254-W4254)/T4254</f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>T4255*23%</f>
        <v>2.99</v>
      </c>
      <c r="V4255" s="10">
        <f>T4255+U4255</f>
        <v>15.99</v>
      </c>
      <c r="W4255" s="2">
        <f>0.082*S4255</f>
        <v>8.2000000000000011</v>
      </c>
      <c r="X4255" s="5">
        <f>(T4255-W4255)/T4255</f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>T4255-W4255</f>
        <v>4.7999999999999989</v>
      </c>
      <c r="AL4255" s="5">
        <f>(T4255-W4255)/T4255</f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>T4256*23%</f>
        <v>29.900000000000002</v>
      </c>
      <c r="V4256" s="10">
        <f>T4256+U4256</f>
        <v>159.9</v>
      </c>
      <c r="W4256" s="2">
        <f>0.0914*S4256</f>
        <v>91.399999999999991</v>
      </c>
      <c r="X4256" s="5">
        <f>(T4256-W4256)/T4256</f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>T4256-W4256</f>
        <v>38.600000000000009</v>
      </c>
      <c r="AL4256" s="5">
        <f>(T4256-W4256)/T4256</f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>T4257*23%</f>
        <v>46.850999999999999</v>
      </c>
      <c r="V4257" s="10">
        <f>T4257+U4257</f>
        <v>250.55099999999999</v>
      </c>
      <c r="W4257" s="2">
        <f>110.125+11.77</f>
        <v>121.895</v>
      </c>
      <c r="X4257" s="5">
        <f>(T4257-W4257)/T4257</f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>T4257-W4257</f>
        <v>81.804999999999993</v>
      </c>
      <c r="AL4257" s="5">
        <f>(T4257-W4257)/T4257</f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>T4258*23%</f>
        <v>0.34040000000000004</v>
      </c>
      <c r="V4258" s="10">
        <f>T4258+U4258</f>
        <v>1.8204</v>
      </c>
      <c r="W4258" s="2">
        <f>1.48*S4258</f>
        <v>1.48</v>
      </c>
      <c r="X4258" s="5">
        <f>(T4258-W4258)/T4258</f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>T4258-W4258</f>
        <v>0</v>
      </c>
      <c r="AL4258" s="5">
        <f>(T4258-W4258)/T4258</f>
        <v>0</v>
      </c>
    </row>
    <row r="4259" spans="1:38" x14ac:dyDescent="0.2">
      <c r="A4259" s="8">
        <v>2026</v>
      </c>
      <c r="B4259" s="8">
        <v>6</v>
      </c>
      <c r="C4259" s="8" t="s">
        <v>3396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>(T4259-W4259)/T4259</f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>T4259-W4259</f>
        <v>120.4966</v>
      </c>
      <c r="AL4259" s="5">
        <f>(T4259-W4259)/T4259</f>
        <v>0.25874296757569254</v>
      </c>
    </row>
    <row r="4260" spans="1:38" x14ac:dyDescent="0.2">
      <c r="A4260" s="8">
        <v>2026</v>
      </c>
      <c r="B4260" s="8">
        <v>6</v>
      </c>
      <c r="C4260" s="8" t="s">
        <v>3382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>T4260*23%</f>
        <v>5485.5</v>
      </c>
      <c r="V4260" s="2">
        <f>T4260+U4260</f>
        <v>29335.5</v>
      </c>
      <c r="W4260" s="2">
        <f>16602.97+398</f>
        <v>17000.97</v>
      </c>
      <c r="X4260" s="5">
        <f>(T4260-W4260)/T4260</f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K4260" s="2">
        <f>T4260-W4260</f>
        <v>6849.0299999999988</v>
      </c>
      <c r="AL4260" s="5">
        <f>(T4260-W4260)/T4260</f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>T4261*23%</f>
        <v>172.62879999999998</v>
      </c>
      <c r="V4261" s="2">
        <f>T4261+U4261</f>
        <v>923.1887999999999</v>
      </c>
      <c r="W4261" s="2">
        <f>376.4</f>
        <v>376.4</v>
      </c>
      <c r="X4261" s="5">
        <f>(T4261-W4261)/T4261</f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>T4262*23%</f>
        <v>12.65</v>
      </c>
      <c r="V4262" s="2">
        <f>T4262+U4262</f>
        <v>67.650000000000006</v>
      </c>
      <c r="W4262" s="2">
        <f>T4262*40%</f>
        <v>22</v>
      </c>
      <c r="X4262" s="5">
        <f>(T4262-W4262)/T4262</f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>T4262-W4262</f>
        <v>33</v>
      </c>
      <c r="AL4262" s="5">
        <f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>T4263*23%</f>
        <v>12.65</v>
      </c>
      <c r="V4263" s="2">
        <f>T4263+U4263</f>
        <v>67.650000000000006</v>
      </c>
      <c r="W4263" s="2">
        <f>T4263*50%</f>
        <v>27.5</v>
      </c>
      <c r="X4263" s="5">
        <f>(T4263-W4263)/T4263</f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>T4263-W4263</f>
        <v>27.5</v>
      </c>
      <c r="AL4263" s="5">
        <f>(T4263-W4263)/T4263</f>
        <v>0.5</v>
      </c>
    </row>
    <row r="4264" spans="1:38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>T4264*23%</f>
        <v>26.220000000000002</v>
      </c>
      <c r="V4264" s="2">
        <f>T4264+U4264</f>
        <v>140.22</v>
      </c>
      <c r="W4264" s="2">
        <f>T4264*40%</f>
        <v>45.6</v>
      </c>
      <c r="X4264" s="5">
        <f>(T4264-W4264)/T4264</f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>T4264-W4264</f>
        <v>68.400000000000006</v>
      </c>
      <c r="AL4264" s="5">
        <f>(T4264-W4264)/T4264</f>
        <v>0.60000000000000009</v>
      </c>
    </row>
    <row r="4265" spans="1:38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>T4265*23%</f>
        <v>11.385</v>
      </c>
      <c r="V4265" s="2">
        <f>T4265+U4265</f>
        <v>60.884999999999998</v>
      </c>
      <c r="W4265" s="2">
        <f>T4265*50%</f>
        <v>24.75</v>
      </c>
      <c r="X4265" s="5">
        <f>(T4265-W4265)/T4265</f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>T4265-W4265</f>
        <v>24.75</v>
      </c>
      <c r="AL4265" s="5">
        <f>(T4265-W4265)/T4265</f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>T4266*23%</f>
        <v>137.86199999999999</v>
      </c>
      <c r="V4266" s="2">
        <f>T4266+U4266</f>
        <v>737.26199999999994</v>
      </c>
      <c r="W4266" s="2">
        <v>346.57</v>
      </c>
      <c r="X4266" s="5">
        <f>(T4266-W4266)/T4266</f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>T4266-W4266</f>
        <v>252.82999999999998</v>
      </c>
      <c r="AL4266" s="5">
        <f>(T4266-W4266)/T4266</f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>T4267*23%</f>
        <v>1607.7</v>
      </c>
      <c r="V4267" s="2">
        <f>T4267+U4267</f>
        <v>8597.7000000000007</v>
      </c>
      <c r="W4267" s="2">
        <f>4893.23+171</f>
        <v>5064.2299999999996</v>
      </c>
      <c r="X4267" s="5">
        <f>(T4267-W4267)/T4267</f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>T4267-W4267</f>
        <v>1925.7700000000004</v>
      </c>
      <c r="AL4267" s="5">
        <f>(T4267-W4267)/T4267</f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>T4268*23%</f>
        <v>160.839</v>
      </c>
      <c r="V4268" s="2">
        <f>T4268+U4268</f>
        <v>860.1389999999999</v>
      </c>
      <c r="W4268" s="2">
        <v>345.20339999999999</v>
      </c>
      <c r="X4268" s="5">
        <f>(T4268-W4268)/T4268</f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>T4268-W4268</f>
        <v>354.09659999999997</v>
      </c>
      <c r="AL4268" s="5">
        <f>(T4268-W4268)/T4268</f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>T4269*23%</f>
        <v>34.96</v>
      </c>
      <c r="V4269" s="2">
        <f>T4269+U4269</f>
        <v>186.96</v>
      </c>
      <c r="W4269" s="2">
        <f>T4269*40%</f>
        <v>60.800000000000004</v>
      </c>
      <c r="X4269" s="5">
        <f>(T4269-W4269)/T4269</f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>T4269-W4269</f>
        <v>91.199999999999989</v>
      </c>
      <c r="AL4269" s="5">
        <f>(T4269-W4269)/T4269</f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>T4270*23%</f>
        <v>12.65</v>
      </c>
      <c r="V4270" s="2">
        <f>T4270+U4270</f>
        <v>67.650000000000006</v>
      </c>
      <c r="W4270" s="2">
        <f>T4270*50%</f>
        <v>27.5</v>
      </c>
      <c r="X4270" s="5">
        <f>(T4270-W4270)/T4270</f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>T4270-W4270</f>
        <v>27.5</v>
      </c>
      <c r="AL4270" s="5">
        <f>(T4270-W4270)/T4270</f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>T4271*23%</f>
        <v>457.70000000000005</v>
      </c>
      <c r="V4271" s="10">
        <f>T4271+U4271</f>
        <v>2447.6999999999998</v>
      </c>
      <c r="W4271" s="2">
        <v>1492.7</v>
      </c>
      <c r="X4271" s="5">
        <f>(T4271-W4271)/T4271</f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>T4271-W4271</f>
        <v>497.29999999999995</v>
      </c>
      <c r="AL4271" s="5">
        <f>(T4271-W4271)/T4271</f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>T4272*23%</f>
        <v>457.70000000000005</v>
      </c>
      <c r="V4272" s="10">
        <f>T4272+U4272</f>
        <v>2447.6999999999998</v>
      </c>
      <c r="W4272" s="2">
        <v>1578</v>
      </c>
      <c r="X4272" s="5">
        <f>(T4272-W4272)/T4272</f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>T4272-W4272</f>
        <v>412</v>
      </c>
      <c r="AL4272" s="5">
        <f>(T4272-W4272)/T4272</f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>T4273*23%</f>
        <v>966</v>
      </c>
      <c r="V4273" s="10">
        <f>T4273+U4273</f>
        <v>5166</v>
      </c>
      <c r="W4273" s="2">
        <f>3203.85+43</f>
        <v>3246.85</v>
      </c>
      <c r="X4273" s="5">
        <f>(T4273-W4273)/T4273</f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>T4273-W4273</f>
        <v>953.15000000000009</v>
      </c>
      <c r="AL4273" s="5">
        <f>(T4273-W4273)/T4273</f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>T4274*23%</f>
        <v>494.5</v>
      </c>
      <c r="V4274" s="10">
        <f>T4274+U4274</f>
        <v>2644.5</v>
      </c>
      <c r="W4274" s="2">
        <v>1578</v>
      </c>
      <c r="X4274" s="5">
        <f>(T4274-W4274)/T4274</f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>T4274-W4274</f>
        <v>572</v>
      </c>
      <c r="AL4274" s="5">
        <f>(T4274-W4274)/T4274</f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>T4275*23%</f>
        <v>-184</v>
      </c>
      <c r="V4275" s="10">
        <f>T4275+U4275</f>
        <v>-984</v>
      </c>
      <c r="W4275" s="2">
        <f>124*4</f>
        <v>496</v>
      </c>
      <c r="X4275" s="18">
        <f>SIGN(T4275)*((ABS(T4275)-W4275)/ABS(T4275))</f>
        <v>-0.38</v>
      </c>
      <c r="Z4275" s="2" t="s">
        <v>3231</v>
      </c>
      <c r="AA4275" s="2" t="s">
        <v>3387</v>
      </c>
      <c r="AB4275" s="2" t="s">
        <v>3393</v>
      </c>
      <c r="AC4275" s="2" t="s">
        <v>3394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>T4276*23%</f>
        <v>-164.31200000000001</v>
      </c>
      <c r="V4276" s="10">
        <f>T4276+U4276</f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3231</v>
      </c>
      <c r="AA4276" s="2" t="s">
        <v>3387</v>
      </c>
      <c r="AB4276" s="2" t="s">
        <v>3393</v>
      </c>
      <c r="AC4276" s="2" t="s">
        <v>3394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3402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>T4277*23%</f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3402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>T4278-W4278</f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3299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>T4279*23%</f>
        <v>5.7960000000000003</v>
      </c>
      <c r="V4279" s="12">
        <f>T4279+U4279</f>
        <v>30.995999999999999</v>
      </c>
      <c r="W4279" s="2">
        <v>14.535</v>
      </c>
      <c r="X4279" s="5">
        <f>(T4279-W4279)/T4279</f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>T4279-W4279</f>
        <v>10.664999999999999</v>
      </c>
      <c r="AL4279" s="5">
        <f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3299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>T4280*23%</f>
        <v>4.83</v>
      </c>
      <c r="V4280" s="12">
        <f>T4280+U4280</f>
        <v>25.83</v>
      </c>
      <c r="W4280" s="2">
        <f>9.3*S4280</f>
        <v>9.3000000000000007</v>
      </c>
      <c r="X4280" s="5">
        <f>(T4280-W4280)/T4280</f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>T4280-W4280</f>
        <v>11.7</v>
      </c>
      <c r="AL4280" s="5">
        <f>(T4280-W4280)/T4280</f>
        <v>0.55714285714285716</v>
      </c>
    </row>
    <row r="4281" spans="1:38" x14ac:dyDescent="0.2">
      <c r="A4281" s="2">
        <v>2026</v>
      </c>
      <c r="B4281" s="2">
        <v>7</v>
      </c>
      <c r="C4281" s="2" t="s">
        <v>3299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>T4281*23%</f>
        <v>2.99</v>
      </c>
      <c r="V4281" s="12">
        <f>T4281+U4281</f>
        <v>15.99</v>
      </c>
      <c r="W4281" s="2">
        <f>6.6267*S4281</f>
        <v>6.6266999999999996</v>
      </c>
      <c r="X4281" s="5">
        <f>(T4281-W4281)/T4281</f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>T4281-W4281</f>
        <v>6.3733000000000004</v>
      </c>
      <c r="AL4281" s="5">
        <f>(T4281-W4281)/T4281</f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>T4282*23%</f>
        <v>4.1400000000000006</v>
      </c>
      <c r="V4282" s="12">
        <f>T4282+U4282</f>
        <v>22.14</v>
      </c>
      <c r="W4282" s="2">
        <f>14.4*S4282</f>
        <v>14.4</v>
      </c>
      <c r="X4282" s="5">
        <f>(T4282-W4282)/T4282</f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>T4282-W4282</f>
        <v>3.5999999999999996</v>
      </c>
      <c r="AL4282" s="5">
        <f>(T4282-W4282)/T4282</f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>T4283*23%</f>
        <v>6.9</v>
      </c>
      <c r="V4283" s="12">
        <f>T4283+U4283</f>
        <v>36.9</v>
      </c>
      <c r="W4283" s="2">
        <f>10.6*S4283</f>
        <v>21.2</v>
      </c>
      <c r="X4283" s="5">
        <f>(T4283-W4283)/T4283</f>
        <v>0.29333333333333333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>T4283-W4283</f>
        <v>8.8000000000000007</v>
      </c>
      <c r="AL4283" s="5">
        <f>(T4283-W4283)/T4283</f>
        <v>0.29333333333333333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>T4284*23%</f>
        <v>5.5200000000000005</v>
      </c>
      <c r="V4284" s="12">
        <f>T4284+U4284</f>
        <v>29.52</v>
      </c>
      <c r="X4284" s="5">
        <f>(T4284-W4284)/T4284</f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>T4284-W4284</f>
        <v>24</v>
      </c>
      <c r="AL4284" s="5">
        <f>(T4284-W4284)/T4284</f>
        <v>1</v>
      </c>
    </row>
    <row r="4285" spans="1:38" x14ac:dyDescent="0.2">
      <c r="A4285" s="2">
        <v>2026</v>
      </c>
      <c r="B4285" s="2">
        <v>7</v>
      </c>
      <c r="C4285" s="2" t="s">
        <v>3299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>T4285*23%</f>
        <v>43.010000000000005</v>
      </c>
      <c r="V4285" s="12">
        <f>T4285+U4285</f>
        <v>230.01</v>
      </c>
      <c r="W4285" s="2">
        <v>141.16</v>
      </c>
      <c r="X4285" s="5">
        <f>(T4285-W4285)/T4285</f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>T4285-W4285</f>
        <v>45.84</v>
      </c>
      <c r="AL4285" s="5">
        <f>(T4285-W4285)/T4285</f>
        <v>0.24513368983957221</v>
      </c>
    </row>
    <row r="4286" spans="1:38" x14ac:dyDescent="0.2">
      <c r="A4286" s="2">
        <v>2026</v>
      </c>
      <c r="B4286" s="2">
        <v>7</v>
      </c>
      <c r="C4286" s="2" t="s">
        <v>3299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>T4286*23%</f>
        <v>0.34040000000000004</v>
      </c>
      <c r="V4286" s="12">
        <f>T4286+U4286</f>
        <v>1.8204</v>
      </c>
      <c r="W4286" s="2">
        <v>1.48</v>
      </c>
      <c r="X4286" s="5">
        <f>(T4286-W4286)/T4286</f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>T4286-W4286</f>
        <v>0</v>
      </c>
      <c r="AL4286" s="5">
        <f>(T4286-W4286)/T4286</f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>T4287*23%</f>
        <v>50.6</v>
      </c>
      <c r="V4287" s="12">
        <f>T4287+U4287</f>
        <v>270.60000000000002</v>
      </c>
      <c r="W4287" s="2">
        <v>113.4</v>
      </c>
      <c r="X4287" s="5">
        <f>(T4287-W4287)/T4287</f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>T4287-W4287</f>
        <v>106.6</v>
      </c>
      <c r="AL4287" s="5">
        <f>(T4287-W4287)/T4287</f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>T4288*23%</f>
        <v>0.34040000000000004</v>
      </c>
      <c r="V4288" s="12">
        <f>T4288+U4288</f>
        <v>1.8204</v>
      </c>
      <c r="W4288" s="2">
        <v>1.48</v>
      </c>
      <c r="X4288" s="5">
        <f>(T4288-W4288)/T4288</f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>T4288-W4288</f>
        <v>0</v>
      </c>
      <c r="AL4288" s="5">
        <f>(T4288-W4288)/T4288</f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>T4289*23%</f>
        <v>273.7</v>
      </c>
      <c r="V4289" s="12">
        <f>T4289+U4289</f>
        <v>1463.7</v>
      </c>
      <c r="W4289" s="2">
        <v>773.5</v>
      </c>
      <c r="X4289" s="5">
        <f>(T4289-W4289)/T4289</f>
        <v>0.35</v>
      </c>
      <c r="Z4289" s="2" t="s">
        <v>118</v>
      </c>
      <c r="AA4289" s="2" t="s">
        <v>182</v>
      </c>
      <c r="AB4289" s="2" t="s">
        <v>3385</v>
      </c>
      <c r="AC4289" s="2" t="s">
        <v>1329</v>
      </c>
      <c r="AK4289" s="2">
        <f>T4289-W4289</f>
        <v>416.5</v>
      </c>
      <c r="AL4289" s="5">
        <f>(T4289-W4289)/T4289</f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>T4290*23%</f>
        <v>52.9529</v>
      </c>
      <c r="V4290" s="12">
        <f>T4290+U4290</f>
        <v>283.18290000000002</v>
      </c>
      <c r="W4290" s="2">
        <f>115.92+6.06</f>
        <v>121.98</v>
      </c>
      <c r="X4290" s="5">
        <f>(T4290-W4290)/T4290</f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>T4290-W4290</f>
        <v>108.24999999999999</v>
      </c>
      <c r="AL4290" s="5">
        <f>(T4290-W4290)/T4290</f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>T4291*23%</f>
        <v>0.34040000000000004</v>
      </c>
      <c r="V4291" s="12">
        <f>T4291+U4291</f>
        <v>1.8204</v>
      </c>
      <c r="W4291" s="2">
        <v>1.48</v>
      </c>
      <c r="X4291" s="5">
        <f>(T4291-W4291)/T4291</f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>T4291-W4291</f>
        <v>0</v>
      </c>
      <c r="AL4291" s="5">
        <f>(T4291-W4291)/T4291</f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>T4292*23%</f>
        <v>160.839</v>
      </c>
      <c r="V4292" s="12">
        <f>T4292+U4292</f>
        <v>860.1389999999999</v>
      </c>
      <c r="W4292" s="2">
        <v>345.20339999999999</v>
      </c>
      <c r="X4292" s="5">
        <f>(T4292-W4292)/T4292</f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>T4292-W4292</f>
        <v>354.09659999999997</v>
      </c>
      <c r="AL4292" s="5">
        <f>(T4292-W4292)/T4292</f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>T4293*23%</f>
        <v>12.65</v>
      </c>
      <c r="V4293" s="12">
        <f>T4293+U4293</f>
        <v>67.650000000000006</v>
      </c>
      <c r="W4293" s="2">
        <f>T4293*40%</f>
        <v>22</v>
      </c>
      <c r="X4293" s="5">
        <f>(T4293-W4293)/T4293</f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>T4293-W4293</f>
        <v>33</v>
      </c>
      <c r="AL4293" s="5">
        <f>(T4293-W4293)/T4293</f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>T4294*23%</f>
        <v>6.3250000000000002</v>
      </c>
      <c r="V4294" s="12">
        <f>T4294+U4294</f>
        <v>33.825000000000003</v>
      </c>
      <c r="W4294" s="2">
        <f>T4294*50%</f>
        <v>13.75</v>
      </c>
      <c r="X4294" s="5">
        <f>(T4294-W4294)/T4294</f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>T4294-W4294</f>
        <v>13.75</v>
      </c>
      <c r="AL4294" s="5">
        <f>(T4294-W4294)/T4294</f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>T4295*23%</f>
        <v>50.6</v>
      </c>
      <c r="V4295" s="12">
        <f>T4295+U4295</f>
        <v>270.60000000000002</v>
      </c>
      <c r="W4295" s="2">
        <v>119.95</v>
      </c>
      <c r="X4295" s="5">
        <f>(T4295-W4295)/T4295</f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>T4295-W4295</f>
        <v>100.05</v>
      </c>
      <c r="AL4295" s="5">
        <f>(T4295-W4295)/T4295</f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>T4296*23%</f>
        <v>0.34040000000000004</v>
      </c>
      <c r="V4296" s="12">
        <f>T4296+U4296</f>
        <v>1.8204</v>
      </c>
      <c r="W4296" s="2">
        <v>1.48</v>
      </c>
      <c r="X4296" s="5">
        <f>(T4296-W4296)/T4296</f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>T4296-W4296</f>
        <v>0</v>
      </c>
      <c r="AL4296" s="5">
        <f>(T4296-W4296)/T4296</f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>T4297*23%</f>
        <v>2990</v>
      </c>
      <c r="V4297" s="12">
        <f>T4297+U4297</f>
        <v>15990</v>
      </c>
      <c r="W4297" s="2">
        <v>8765.42</v>
      </c>
      <c r="X4297" s="5">
        <f>(T4297-W4297)/T4297</f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>T4297-W4297</f>
        <v>4234.58</v>
      </c>
      <c r="AL4297" s="5">
        <f>(T4297-W4297)/T4297</f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>T4298*23%</f>
        <v>1380</v>
      </c>
      <c r="V4298" s="12">
        <f>T4298+U4298</f>
        <v>7380</v>
      </c>
      <c r="W4298" s="2">
        <v>4221.5600000000004</v>
      </c>
      <c r="X4298" s="5">
        <f>(T4298-W4298)/T4298</f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>T4298-W4298</f>
        <v>1778.4399999999996</v>
      </c>
      <c r="AL4298" s="5">
        <f>(T4298-W4298)/T4298</f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>T4299*23%</f>
        <v>230</v>
      </c>
      <c r="V4299" s="12">
        <f>T4299+U4299</f>
        <v>1230</v>
      </c>
      <c r="W4299" s="2">
        <v>802.73</v>
      </c>
      <c r="X4299" s="5">
        <f>(T4299-W4299)/T4299</f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>T4299-W4299</f>
        <v>197.26999999999998</v>
      </c>
      <c r="AL4299" s="5">
        <f>(T4299-W4299)/T4299</f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>T4300*23%</f>
        <v>13.8</v>
      </c>
      <c r="V4300" s="12">
        <f>T4300+U4300</f>
        <v>73.8</v>
      </c>
      <c r="W4300" s="2">
        <f>T4300*40%</f>
        <v>24</v>
      </c>
      <c r="X4300" s="5">
        <f>(T4300-W4300)/T4300</f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>T4300-W4300</f>
        <v>36</v>
      </c>
      <c r="AL4300" s="5">
        <f>(T4300-W4300)/T4300</f>
        <v>0.6</v>
      </c>
    </row>
    <row r="4301" spans="1:38" x14ac:dyDescent="0.2">
      <c r="A4301" s="2">
        <v>2026</v>
      </c>
      <c r="B4301" s="2">
        <v>7</v>
      </c>
      <c r="C4301" s="2" t="s">
        <v>3443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>T4301*23%</f>
        <v>12.65</v>
      </c>
      <c r="V4301" s="12">
        <f>T4301+U4301</f>
        <v>67.650000000000006</v>
      </c>
      <c r="W4301" s="2">
        <f>T4301*50%</f>
        <v>27.5</v>
      </c>
      <c r="X4301" s="5">
        <f>(T4301-W4301)/T4301</f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>T4301-W4301</f>
        <v>27.5</v>
      </c>
      <c r="AL4301" s="5">
        <f>(T4301-W4301)/T4301</f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>T4302*23%</f>
        <v>160.839</v>
      </c>
      <c r="V4302" s="2">
        <f>T4302+U4302</f>
        <v>860.1389999999999</v>
      </c>
      <c r="W4302" s="2">
        <v>345.20339999999999</v>
      </c>
      <c r="X4302" s="5">
        <f>(T4302-W4302)/T4302</f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>T4302-W4302</f>
        <v>354.09659999999997</v>
      </c>
      <c r="AL4302" s="5">
        <f>(T4302-W4302)/T4302</f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>T4303*23%</f>
        <v>72.22</v>
      </c>
      <c r="V4303" s="2">
        <f>T4303+U4303</f>
        <v>386.22</v>
      </c>
      <c r="W4303" s="2">
        <f>T4303*40%</f>
        <v>125.60000000000001</v>
      </c>
      <c r="X4303" s="5">
        <f>(T4303-W4303)/T4303</f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>T4303-W4303</f>
        <v>188.39999999999998</v>
      </c>
      <c r="AL4303" s="5">
        <f>(T4303-W4303)/T4303</f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>T4304*23%</f>
        <v>12.65</v>
      </c>
      <c r="V4304" s="2">
        <f>T4304+U4304</f>
        <v>67.650000000000006</v>
      </c>
      <c r="W4304" s="2">
        <f>T4304*50%</f>
        <v>27.5</v>
      </c>
      <c r="X4304" s="5">
        <f>(T4304-W4304)/T4304</f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>T4304-W4304</f>
        <v>27.5</v>
      </c>
      <c r="AL4304" s="5">
        <f>(T4304-W4304)/T4304</f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>T4305*23%</f>
        <v>13.8</v>
      </c>
      <c r="V4305" s="2">
        <f>T4305+U4305</f>
        <v>73.8</v>
      </c>
      <c r="W4305" s="2">
        <f>T4305*40%</f>
        <v>24</v>
      </c>
      <c r="X4305" s="5">
        <f>(T4305-W4305)/T4305</f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>T4305-W4305</f>
        <v>36</v>
      </c>
      <c r="AL4305" s="5">
        <f>(T4305-W4305)/T4305</f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>T4306*23%</f>
        <v>12.65</v>
      </c>
      <c r="V4306" s="2">
        <f>T4306+U4306</f>
        <v>67.650000000000006</v>
      </c>
      <c r="W4306" s="2">
        <f>T4306*50%</f>
        <v>27.5</v>
      </c>
      <c r="X4306" s="5">
        <f>(T4306-W4306)/T4306</f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>T4306-W4306</f>
        <v>27.5</v>
      </c>
      <c r="AL4306" s="5">
        <f>(T4306-W4306)/T4306</f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>T4307*23%</f>
        <v>50.6</v>
      </c>
      <c r="V4307" s="2">
        <f>T4307+U4307</f>
        <v>270.60000000000002</v>
      </c>
      <c r="W4307" s="2">
        <f>113.905+11.25</f>
        <v>125.155</v>
      </c>
      <c r="X4307" s="5">
        <f>(T4307-W4307)/T4307</f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>T4307-W4307</f>
        <v>94.844999999999999</v>
      </c>
      <c r="AL4307" s="5">
        <f>(T4307-W4307)/T4307</f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>T4308*23%</f>
        <v>0.34040000000000004</v>
      </c>
      <c r="V4308" s="2">
        <f>T4308+U4308</f>
        <v>1.8204</v>
      </c>
      <c r="W4308" s="2">
        <v>1.48</v>
      </c>
      <c r="X4308" s="5">
        <f>(T4308-W4308)/T4308</f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>T4308-W4308</f>
        <v>0</v>
      </c>
      <c r="AL4308" s="5">
        <f>(T4308-W4308)/T4308</f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>T4309*23%</f>
        <v>145.82</v>
      </c>
      <c r="V4309" s="2">
        <f>T4309+U4309</f>
        <v>779.81999999999994</v>
      </c>
      <c r="W4309" s="2">
        <f>T4309*40%</f>
        <v>253.60000000000002</v>
      </c>
      <c r="X4309" s="5">
        <f>(T4309-W4309)/T4309</f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>T4309-W4309</f>
        <v>380.4</v>
      </c>
      <c r="AL4309" s="5">
        <f>(T4309-W4309)/T4309</f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>T4310*23%</f>
        <v>44.274999999999999</v>
      </c>
      <c r="V4310" s="2">
        <f>T4310+U4310</f>
        <v>236.77500000000001</v>
      </c>
      <c r="W4310" s="2">
        <f>T4310*50%</f>
        <v>96.25</v>
      </c>
      <c r="X4310" s="5">
        <f>(T4310-W4310)/T4310</f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>T4310-W4310</f>
        <v>96.25</v>
      </c>
      <c r="AL4310" s="5">
        <f>(T4310-W4310)/T4310</f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>T4311*23%</f>
        <v>13.8</v>
      </c>
      <c r="V4311" s="2">
        <f>T4311+U4311</f>
        <v>73.8</v>
      </c>
      <c r="W4311" s="2">
        <f>T4311*40%</f>
        <v>24</v>
      </c>
      <c r="X4311" s="5">
        <f>(T4311-W4311)/T4311</f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>T4311-W4311</f>
        <v>36</v>
      </c>
      <c r="AL4311" s="5">
        <f>(T4311-W4311)/T4311</f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>T4312*23%</f>
        <v>18.975000000000001</v>
      </c>
      <c r="V4312" s="2">
        <f>T4312+U4312</f>
        <v>101.47499999999999</v>
      </c>
      <c r="W4312" s="2">
        <f>T4312*50%</f>
        <v>41.25</v>
      </c>
      <c r="X4312" s="5">
        <f>(T4312-W4312)/T4312</f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>T4312-W4312</f>
        <v>41.25</v>
      </c>
      <c r="AL4312" s="5">
        <f>(T4312-W4312)/T4312</f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>T4313*23%</f>
        <v>18.278100000000002</v>
      </c>
      <c r="V4313" s="2">
        <f>T4313+U4313</f>
        <v>97.748099999999994</v>
      </c>
      <c r="W4313" s="2">
        <v>25.2</v>
      </c>
      <c r="X4313" s="5">
        <f>(T4313-W4313)/T4313</f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>T4313-W4313</f>
        <v>54.269999999999996</v>
      </c>
      <c r="AL4313" s="5">
        <f>(T4313-W4313)/T4313</f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>T4314*23%</f>
        <v>64.400000000000006</v>
      </c>
      <c r="V4314" s="2">
        <f>T4314+U4314</f>
        <v>344.4</v>
      </c>
      <c r="W4314" s="2">
        <f>144.32+16.82</f>
        <v>161.13999999999999</v>
      </c>
      <c r="X4314" s="5">
        <f>(T4314-W4314)/T4314</f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>T4314-W4314</f>
        <v>118.86000000000001</v>
      </c>
      <c r="AL4314" s="5">
        <f>(T4314-W4314)/T4314</f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>T4315*23%</f>
        <v>0.34040000000000004</v>
      </c>
      <c r="V4315" s="2">
        <f>T4315+U4315</f>
        <v>1.8204</v>
      </c>
      <c r="W4315" s="2">
        <v>1.48</v>
      </c>
      <c r="X4315" s="5">
        <f>(T4315-W4315)/T4315</f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>T4315-W4315</f>
        <v>0</v>
      </c>
      <c r="AL4315" s="5">
        <f>(T4315-W4315)/T4315</f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>T4316*23%</f>
        <v>273.7</v>
      </c>
      <c r="V4316" s="2">
        <f>T4316+U4316</f>
        <v>1463.7</v>
      </c>
      <c r="W4316" s="2">
        <v>773.5</v>
      </c>
      <c r="X4316" s="5">
        <f>(T4316-W4316)/T4316</f>
        <v>0.35</v>
      </c>
      <c r="Z4316" s="2" t="s">
        <v>118</v>
      </c>
      <c r="AA4316" s="2" t="s">
        <v>182</v>
      </c>
      <c r="AB4316" s="2" t="s">
        <v>3385</v>
      </c>
      <c r="AC4316" s="2" t="s">
        <v>1329</v>
      </c>
      <c r="AK4316" s="2">
        <f>T4316-W4316</f>
        <v>416.5</v>
      </c>
      <c r="AL4316" s="5">
        <f>(T4316-W4316)/T4316</f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>T4317*23%</f>
        <v>41.4</v>
      </c>
      <c r="V4317" s="2">
        <f>T4317+U4317</f>
        <v>221.4</v>
      </c>
      <c r="W4317" s="2">
        <v>125.51600000000001</v>
      </c>
      <c r="X4317" s="5">
        <f>(T4317-W4317)/T4317</f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>T4317-W4317</f>
        <v>54.483999999999995</v>
      </c>
      <c r="AL4317" s="5">
        <f>(T4317-W4317)/T4317</f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>T4318*23%</f>
        <v>0.34040000000000004</v>
      </c>
      <c r="V4318" s="2">
        <f>T4318+U4318</f>
        <v>1.8204</v>
      </c>
      <c r="W4318" s="2">
        <v>1.48</v>
      </c>
      <c r="X4318" s="5">
        <f>(T4318-W4318)/T4318</f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>T4318-W4318</f>
        <v>0</v>
      </c>
      <c r="AL4318" s="5">
        <f>(T4318-W4318)/T4318</f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L4319" s="2" t="s">
        <v>399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>T4319*23%</f>
        <v>52.900000000000006</v>
      </c>
      <c r="V4319" s="2">
        <f>T4319+U4319</f>
        <v>282.89999999999998</v>
      </c>
      <c r="W4319" s="2">
        <v>135.68</v>
      </c>
      <c r="X4319" s="5">
        <f>(T4319-W4319)/T4319</f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>T4319-W4319</f>
        <v>94.32</v>
      </c>
      <c r="AL4319" s="5">
        <f>(T4319-W4319)/T4319</f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L4320" s="2" t="s">
        <v>399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>T4320*23%</f>
        <v>0.34040000000000004</v>
      </c>
      <c r="V4320" s="2">
        <f>T4320+U4320</f>
        <v>1.8204</v>
      </c>
      <c r="X4320" s="5">
        <f>(T4320-W4320)/T4320</f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>T4320-W4320</f>
        <v>1.48</v>
      </c>
      <c r="AL4320" s="5">
        <f>(T4320-W4320)/T4320</f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>T4321*23%</f>
        <v>8.6480000000000015</v>
      </c>
      <c r="V4321" s="2">
        <f>T4321+U4321</f>
        <v>46.248000000000005</v>
      </c>
      <c r="W4321" s="2">
        <v>21.71</v>
      </c>
      <c r="X4321" s="5">
        <f>(T4321-W4321)/T4321</f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>T4321-W4321</f>
        <v>15.89</v>
      </c>
      <c r="AL4321" s="5">
        <f>(T4321-W4321)/T4321</f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>T4322*23%</f>
        <v>13.8</v>
      </c>
      <c r="V4322" s="2">
        <f>T4322+U4322</f>
        <v>73.8</v>
      </c>
      <c r="W4322" s="2">
        <f>T4322*40%</f>
        <v>24</v>
      </c>
      <c r="X4322" s="5">
        <f>(T4322-W4322)/T4322</f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>T4322-W4322</f>
        <v>36</v>
      </c>
      <c r="AL4322" s="5">
        <f>(T4322-W4322)/T4322</f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>T4323*23%</f>
        <v>12.65</v>
      </c>
      <c r="V4323" s="2">
        <f>T4323+U4323</f>
        <v>67.650000000000006</v>
      </c>
      <c r="W4323" s="2">
        <f>T4323*50%</f>
        <v>27.5</v>
      </c>
      <c r="X4323" s="5">
        <f>(T4323-W4323)/T4323</f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>T4323-W4323</f>
        <v>27.5</v>
      </c>
      <c r="AL4323" s="5">
        <f>(T4323-W4323)/T4323</f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>T4324*23%</f>
        <v>1.84</v>
      </c>
      <c r="V4324" s="2">
        <f>T4324+U4324</f>
        <v>9.84</v>
      </c>
      <c r="X4324" s="5">
        <f>(T4324-W4324)/T4324</f>
        <v>1</v>
      </c>
      <c r="Z4324" s="2" t="s">
        <v>170</v>
      </c>
      <c r="AA4324" s="2" t="s">
        <v>170</v>
      </c>
      <c r="AK4324" s="2">
        <f>T4324-W4324</f>
        <v>8</v>
      </c>
      <c r="AL4324" s="5">
        <f>(T4324-W4324)/T4324</f>
        <v>1</v>
      </c>
    </row>
    <row r="4325" spans="1:38" x14ac:dyDescent="0.2">
      <c r="A4325" s="2">
        <v>2026</v>
      </c>
      <c r="B4325" s="2">
        <v>7</v>
      </c>
      <c r="C4325" s="2" t="s">
        <v>3299</v>
      </c>
      <c r="D4325" s="15" t="s">
        <v>1998</v>
      </c>
      <c r="E4325" s="2" t="s">
        <v>38</v>
      </c>
      <c r="F4325" s="2" t="s">
        <v>39</v>
      </c>
      <c r="L4325" s="2" t="s">
        <v>572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>T4325*23%</f>
        <v>55.2</v>
      </c>
      <c r="V4325" s="2">
        <f>T4325+U4325</f>
        <v>295.2</v>
      </c>
      <c r="W4325" s="2">
        <v>119.95</v>
      </c>
      <c r="X4325" s="5">
        <f>(T4325-W4325)/T4325</f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>T4325-W4325</f>
        <v>120.05</v>
      </c>
      <c r="AL4325" s="5">
        <f>(T4325-W4325)/T4325</f>
        <v>0.50020833333333337</v>
      </c>
    </row>
    <row r="4326" spans="1:38" x14ac:dyDescent="0.2">
      <c r="A4326" s="2">
        <v>2026</v>
      </c>
      <c r="B4326" s="2">
        <v>7</v>
      </c>
      <c r="C4326" s="2" t="s">
        <v>3299</v>
      </c>
      <c r="D4326" s="15" t="s">
        <v>1998</v>
      </c>
      <c r="E4326" s="2" t="s">
        <v>38</v>
      </c>
      <c r="F4326" s="2" t="s">
        <v>39</v>
      </c>
      <c r="L4326" s="2" t="s">
        <v>572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>T4326*23%</f>
        <v>0.34040000000000004</v>
      </c>
      <c r="V4326" s="2">
        <f>T4326+U4326</f>
        <v>1.8204</v>
      </c>
      <c r="W4326" s="2">
        <v>1.48</v>
      </c>
      <c r="X4326" s="5">
        <f>(T4326-W4326)/T4326</f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>T4326-W4326</f>
        <v>0</v>
      </c>
      <c r="AL4326" s="5">
        <f>(T4326-W4326)/T4326</f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E4327" s="2" t="s">
        <v>109</v>
      </c>
      <c r="F4327" s="2" t="s">
        <v>39</v>
      </c>
      <c r="L4327" s="2" t="s">
        <v>361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>T4327*23%</f>
        <v>46</v>
      </c>
      <c r="V4327" s="2">
        <f>T4327+U4327</f>
        <v>246</v>
      </c>
      <c r="W4327" s="2">
        <v>124.6</v>
      </c>
      <c r="X4327" s="5">
        <f>(T4327-W4327)/T4327</f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>T4327-W4327</f>
        <v>75.400000000000006</v>
      </c>
      <c r="AL4327" s="5">
        <f>(T4327-W4327)/T4327</f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E4328" s="2" t="s">
        <v>109</v>
      </c>
      <c r="F4328" s="2" t="s">
        <v>39</v>
      </c>
      <c r="L4328" s="2" t="s">
        <v>361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>T4328*23%</f>
        <v>0.34040000000000004</v>
      </c>
      <c r="V4328" s="2">
        <f>T4328+U4328</f>
        <v>1.8204</v>
      </c>
      <c r="X4328" s="5">
        <f>(T4328-W4328)/T4328</f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>T4328-W4328</f>
        <v>1.48</v>
      </c>
      <c r="AL4328" s="5">
        <f>(T4328-W4328)/T4328</f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3381</v>
      </c>
      <c r="F4329" s="2" t="s">
        <v>39</v>
      </c>
      <c r="H4329" s="2" t="s">
        <v>41</v>
      </c>
      <c r="L4329" s="2" t="s">
        <v>178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>T4329*23%</f>
        <v>460</v>
      </c>
      <c r="V4329" s="2">
        <f>T4329+U4329</f>
        <v>2460</v>
      </c>
      <c r="W4329" s="2">
        <v>1150</v>
      </c>
      <c r="X4329" s="5">
        <f>(T4329-W4329)/T4329</f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>T4329-W4329</f>
        <v>850</v>
      </c>
      <c r="AL4329" s="5">
        <f>(T4329-W4329)/T4329</f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3381</v>
      </c>
      <c r="F4330" s="2" t="s">
        <v>39</v>
      </c>
      <c r="H4330" s="2" t="s">
        <v>41</v>
      </c>
      <c r="L4330" s="2" t="s">
        <v>178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>T4330*23%</f>
        <v>0</v>
      </c>
      <c r="V4330" s="2">
        <f>T4330+U4330</f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>T4330-W4330</f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3381</v>
      </c>
      <c r="F4331" s="2" t="s">
        <v>39</v>
      </c>
      <c r="H4331" s="2" t="s">
        <v>41</v>
      </c>
      <c r="L4331" s="2" t="s">
        <v>178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>T4331*23%</f>
        <v>0</v>
      </c>
      <c r="V4331" s="2">
        <f>T4331+U4331</f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>T4331-W4331</f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>T4332*23%</f>
        <v>62.1</v>
      </c>
      <c r="V4332" s="2">
        <f>T4332+U4332</f>
        <v>332.1</v>
      </c>
      <c r="W4332" s="2">
        <f>118.44+11.7</f>
        <v>130.13999999999999</v>
      </c>
      <c r="X4332" s="5">
        <f>(T4332-W4332)/T4332</f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>T4332-W4332</f>
        <v>139.86000000000001</v>
      </c>
      <c r="AL4332" s="5">
        <f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>T4333*23%</f>
        <v>0.34040000000000004</v>
      </c>
      <c r="V4333" s="2">
        <f>T4333+U4333</f>
        <v>1.8204</v>
      </c>
      <c r="W4333" s="2">
        <v>1.48</v>
      </c>
      <c r="X4333" s="5">
        <f>(T4333-W4333)/T4333</f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>T4333-W4333</f>
        <v>0</v>
      </c>
      <c r="AL4333" s="5">
        <f>(T4333-W4333)/T4333</f>
        <v>0</v>
      </c>
    </row>
    <row r="4334" spans="1:38" x14ac:dyDescent="0.2">
      <c r="A4334" s="2">
        <v>2026</v>
      </c>
      <c r="B4334" s="2">
        <v>7</v>
      </c>
      <c r="C4334" s="2" t="s">
        <v>3299</v>
      </c>
      <c r="D4334" s="15" t="s">
        <v>1230</v>
      </c>
      <c r="E4334" s="2" t="s">
        <v>38</v>
      </c>
      <c r="F4334" s="2" t="s">
        <v>39</v>
      </c>
      <c r="L4334" s="2" t="s">
        <v>202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>T4334*23%</f>
        <v>16.79</v>
      </c>
      <c r="V4334" s="2">
        <f>T4334+U4334</f>
        <v>89.789999999999992</v>
      </c>
      <c r="W4334" s="2">
        <f>T4334*40%</f>
        <v>29.200000000000003</v>
      </c>
      <c r="X4334" s="5">
        <f>(T4334-W4334)/T4334</f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>T4334-W4334</f>
        <v>43.8</v>
      </c>
      <c r="AL4334" s="5">
        <f>(T4334-W4334)/T4334</f>
        <v>0.6</v>
      </c>
    </row>
    <row r="4335" spans="1:38" x14ac:dyDescent="0.2">
      <c r="A4335" s="2">
        <v>2026</v>
      </c>
      <c r="B4335" s="2">
        <v>7</v>
      </c>
      <c r="C4335" s="2" t="s">
        <v>3299</v>
      </c>
      <c r="D4335" s="15" t="s">
        <v>1230</v>
      </c>
      <c r="E4335" s="2" t="s">
        <v>38</v>
      </c>
      <c r="F4335" s="2" t="s">
        <v>39</v>
      </c>
      <c r="L4335" s="2" t="s">
        <v>202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>T4335*23%</f>
        <v>12.65</v>
      </c>
      <c r="V4335" s="2">
        <f>T4335+U4335</f>
        <v>67.650000000000006</v>
      </c>
      <c r="W4335" s="2">
        <f>T4335*50%</f>
        <v>27.5</v>
      </c>
      <c r="X4335" s="5">
        <f>(T4335-W4335)/T4335</f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>T4335-W4335</f>
        <v>27.5</v>
      </c>
      <c r="AL4335" s="5">
        <f>(T4335-W4335)/T4335</f>
        <v>0.5</v>
      </c>
    </row>
    <row r="4336" spans="1:38" x14ac:dyDescent="0.2">
      <c r="A4336" s="2">
        <v>2026</v>
      </c>
      <c r="B4336" s="2">
        <v>7</v>
      </c>
      <c r="C4336" s="2" t="s">
        <v>3299</v>
      </c>
      <c r="D4336" s="15" t="s">
        <v>1557</v>
      </c>
      <c r="E4336" s="2" t="s">
        <v>109</v>
      </c>
      <c r="F4336" s="2" t="s">
        <v>718</v>
      </c>
      <c r="L4336" s="2" t="s">
        <v>178</v>
      </c>
      <c r="M4336" s="2" t="s">
        <v>41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>T4336*23%</f>
        <v>50.6</v>
      </c>
      <c r="V4336" s="2">
        <f>T4336+U4336</f>
        <v>270.60000000000002</v>
      </c>
      <c r="W4336" s="2">
        <f>118.44+11.7</f>
        <v>130.13999999999999</v>
      </c>
      <c r="X4336" s="5">
        <f>(T4336-W4336)/T4336</f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>T4336-W4336</f>
        <v>89.860000000000014</v>
      </c>
      <c r="AL4336" s="5">
        <f>(T4336-W4336)/T4336</f>
        <v>0.40845454545454551</v>
      </c>
    </row>
    <row r="4337" spans="1:38" x14ac:dyDescent="0.2">
      <c r="A4337" s="2">
        <v>2026</v>
      </c>
      <c r="B4337" s="2">
        <v>7</v>
      </c>
      <c r="C4337" s="2" t="s">
        <v>3299</v>
      </c>
      <c r="D4337" s="15" t="s">
        <v>1557</v>
      </c>
      <c r="E4337" s="2" t="s">
        <v>109</v>
      </c>
      <c r="F4337" s="2" t="s">
        <v>718</v>
      </c>
      <c r="L4337" s="2" t="s">
        <v>178</v>
      </c>
      <c r="M4337" s="2" t="s">
        <v>41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>T4337*23%</f>
        <v>0.34040000000000004</v>
      </c>
      <c r="V4337" s="2">
        <f>T4337+U4337</f>
        <v>1.8204</v>
      </c>
      <c r="W4337" s="2">
        <v>1.48</v>
      </c>
      <c r="X4337" s="5">
        <f>(T4337-W4337)/T4337</f>
        <v>0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>T4337-W4337</f>
        <v>0</v>
      </c>
      <c r="AL4337" s="5">
        <f>(T4337-W4337)/T4337</f>
        <v>0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>T4338*23%</f>
        <v>13.609100000000002</v>
      </c>
      <c r="V4338" s="2">
        <f>T4338+U4338</f>
        <v>72.7791</v>
      </c>
      <c r="W4338" s="2">
        <v>28.25</v>
      </c>
      <c r="X4338" s="5">
        <f>(T4338-W4338)/T4338</f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>T4338-W4338</f>
        <v>30.92</v>
      </c>
      <c r="AL4338" s="5">
        <f>(T4338-W4338)/T4338</f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>T4339*23%</f>
        <v>13.8</v>
      </c>
      <c r="V4339" s="2">
        <f>T4339+U4339</f>
        <v>73.8</v>
      </c>
      <c r="W4339" s="2">
        <f>T4339*40%</f>
        <v>24</v>
      </c>
      <c r="X4339" s="5">
        <f>(T4339-W4339)/T4339</f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>T4339-W4339</f>
        <v>36</v>
      </c>
      <c r="AL4339" s="5">
        <f>(T4339-W4339)/T4339</f>
        <v>0.6</v>
      </c>
    </row>
    <row r="4340" spans="1:38" x14ac:dyDescent="0.2">
      <c r="A4340" s="2">
        <v>2026</v>
      </c>
      <c r="B4340" s="2">
        <v>7</v>
      </c>
      <c r="C4340" s="2" t="s">
        <v>3443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>T4340*23%</f>
        <v>12.65</v>
      </c>
      <c r="V4340" s="2">
        <f>T4340+U4340</f>
        <v>67.650000000000006</v>
      </c>
      <c r="W4340" s="2">
        <f>T4340*50%</f>
        <v>27.5</v>
      </c>
      <c r="X4340" s="5">
        <f>(T4340-W4340)/T4340</f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>T4340-W4340</f>
        <v>27.5</v>
      </c>
      <c r="AL4340" s="5">
        <f>(T4340-W4340)/T4340</f>
        <v>0.5</v>
      </c>
    </row>
    <row r="4341" spans="1:38" x14ac:dyDescent="0.2">
      <c r="A4341" s="2">
        <v>2026</v>
      </c>
      <c r="B4341" s="2">
        <v>7</v>
      </c>
      <c r="C4341" s="2" t="s">
        <v>3443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>T4341*23%</f>
        <v>50.6</v>
      </c>
      <c r="V4341" s="2">
        <f>T4341+U4341</f>
        <v>270.60000000000002</v>
      </c>
      <c r="W4341" s="2">
        <v>125.51600000000001</v>
      </c>
      <c r="X4341" s="5">
        <f>(T4341-W4341)/T4341</f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>T4341-W4341</f>
        <v>94.483999999999995</v>
      </c>
      <c r="AL4341" s="5">
        <f>(T4341-W4341)/T4341</f>
        <v>0.42947272727272723</v>
      </c>
    </row>
    <row r="4342" spans="1:38" x14ac:dyDescent="0.2">
      <c r="A4342" s="2">
        <v>2026</v>
      </c>
      <c r="B4342" s="2">
        <v>7</v>
      </c>
      <c r="C4342" s="2" t="s">
        <v>3443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>T4342*23%</f>
        <v>0.34040000000000004</v>
      </c>
      <c r="V4342" s="2">
        <f>T4342+U4342</f>
        <v>1.8204</v>
      </c>
      <c r="W4342" s="2">
        <v>1.48</v>
      </c>
      <c r="X4342" s="5">
        <f>(T4342-W4342)/T4342</f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>T4342-W4342</f>
        <v>0</v>
      </c>
      <c r="AL4342" s="5">
        <f>(T4342-W4342)/T4342</f>
        <v>0</v>
      </c>
    </row>
    <row r="4343" spans="1:38" x14ac:dyDescent="0.2">
      <c r="A4343" s="2">
        <v>2026</v>
      </c>
      <c r="B4343" s="2">
        <v>7</v>
      </c>
      <c r="C4343" s="2" t="s">
        <v>3443</v>
      </c>
      <c r="D4343" s="15" t="s">
        <v>437</v>
      </c>
      <c r="E4343" s="2" t="s">
        <v>109</v>
      </c>
      <c r="F4343" s="2" t="s">
        <v>377</v>
      </c>
      <c r="L4343" s="2" t="s">
        <v>340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>T4343*23%</f>
        <v>50.6</v>
      </c>
      <c r="V4343" s="2">
        <f>T4343+U4343</f>
        <v>270.60000000000002</v>
      </c>
      <c r="W4343" s="2">
        <v>125.51600000000001</v>
      </c>
      <c r="X4343" s="5">
        <f>(T4343-W4343)/T4343</f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>T4343-W4343</f>
        <v>94.483999999999995</v>
      </c>
      <c r="AL4343" s="5">
        <f>(T4343-W4343)/T4343</f>
        <v>0.42947272727272723</v>
      </c>
    </row>
    <row r="4344" spans="1:38" x14ac:dyDescent="0.2">
      <c r="A4344" s="2">
        <v>2026</v>
      </c>
      <c r="B4344" s="2">
        <v>7</v>
      </c>
      <c r="C4344" s="2" t="s">
        <v>3443</v>
      </c>
      <c r="D4344" s="15" t="s">
        <v>437</v>
      </c>
      <c r="E4344" s="2" t="s">
        <v>109</v>
      </c>
      <c r="F4344" s="2" t="s">
        <v>377</v>
      </c>
      <c r="L4344" s="2" t="s">
        <v>340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>T4344*23%</f>
        <v>0.34040000000000004</v>
      </c>
      <c r="V4344" s="2">
        <f>T4344+U4344</f>
        <v>1.8204</v>
      </c>
      <c r="W4344" s="2">
        <v>1.48</v>
      </c>
      <c r="X4344" s="5">
        <f>(T4344-W4344)/T4344</f>
        <v>0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>T4344-W4344</f>
        <v>0</v>
      </c>
      <c r="AL4344" s="5">
        <f>(T4344-W4344)/T4344</f>
        <v>0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>T4345*23%</f>
        <v>116.99640000000001</v>
      </c>
      <c r="V4345" s="2">
        <f>T4345+U4345</f>
        <v>625.67640000000006</v>
      </c>
      <c r="W4345" s="2">
        <v>178.3383</v>
      </c>
      <c r="X4345" s="5">
        <f>(T4345-W4345)/T4345</f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>T4345-W4345</f>
        <v>330.3417</v>
      </c>
      <c r="AL4345" s="5">
        <f>(T4345-W4345)/T4345</f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>T4346*23%</f>
        <v>20.851800000000001</v>
      </c>
      <c r="V4346" s="2">
        <f>T4346+U4346</f>
        <v>111.51179999999999</v>
      </c>
      <c r="W4346" s="2">
        <v>30.61</v>
      </c>
      <c r="X4346" s="5">
        <f>(T4346-W4346)/T4346</f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>T4346-W4346</f>
        <v>60.05</v>
      </c>
      <c r="AL4346" s="5">
        <f>(T4346-W4346)/T4346</f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>T4347*23%</f>
        <v>84.64</v>
      </c>
      <c r="V4347" s="2">
        <f>T4347+U4347</f>
        <v>452.64</v>
      </c>
      <c r="W4347" s="2">
        <f>T4347*40%</f>
        <v>147.20000000000002</v>
      </c>
      <c r="X4347" s="5">
        <f>(T4347-W4347)/T4347</f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>T4347-W4347</f>
        <v>220.79999999999998</v>
      </c>
      <c r="AL4347" s="5">
        <f>(T4347-W4347)/T4347</f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>T4348*23%</f>
        <v>50.6</v>
      </c>
      <c r="V4348" s="2">
        <f>T4348+U4348</f>
        <v>270.60000000000002</v>
      </c>
      <c r="W4348" s="2">
        <f>T4348*50%</f>
        <v>110</v>
      </c>
      <c r="X4348" s="5">
        <f>(T4348-W4348)/T4348</f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>T4348-W4348</f>
        <v>110</v>
      </c>
      <c r="AL4348" s="5">
        <f>(T4348-W4348)/T4348</f>
        <v>0.5</v>
      </c>
    </row>
    <row r="4349" spans="1:38" x14ac:dyDescent="0.2">
      <c r="A4349" s="2">
        <v>2026</v>
      </c>
      <c r="B4349" s="2">
        <v>7</v>
      </c>
      <c r="C4349" s="2" t="s">
        <v>3443</v>
      </c>
      <c r="D4349" s="15" t="s">
        <v>2021</v>
      </c>
      <c r="E4349" s="2" t="s">
        <v>109</v>
      </c>
      <c r="F4349" s="2" t="s">
        <v>39</v>
      </c>
      <c r="L4349" s="2" t="s">
        <v>178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>T4349*23%</f>
        <v>17.25</v>
      </c>
      <c r="V4349" s="2">
        <f>T4349+U4349</f>
        <v>92.25</v>
      </c>
      <c r="W4349" s="2">
        <f>T4349*40%</f>
        <v>30</v>
      </c>
      <c r="X4349" s="5">
        <f>(T4349-W4349)/T4349</f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>T4349-W4349</f>
        <v>45</v>
      </c>
      <c r="AL4349" s="5">
        <f>(T4349-W4349)/T4349</f>
        <v>0.6</v>
      </c>
    </row>
    <row r="4350" spans="1:38" x14ac:dyDescent="0.2">
      <c r="A4350" s="2">
        <v>2026</v>
      </c>
      <c r="B4350" s="2">
        <v>7</v>
      </c>
      <c r="C4350" s="2" t="s">
        <v>3443</v>
      </c>
      <c r="D4350" s="15" t="s">
        <v>2021</v>
      </c>
      <c r="E4350" s="2" t="s">
        <v>109</v>
      </c>
      <c r="F4350" s="2" t="s">
        <v>39</v>
      </c>
      <c r="L4350" s="2" t="s">
        <v>178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>T4350*23%</f>
        <v>22.137499999999999</v>
      </c>
      <c r="V4350" s="2">
        <f>T4350+U4350</f>
        <v>118.3875</v>
      </c>
      <c r="W4350" s="2">
        <f>T4350*50%</f>
        <v>48.125</v>
      </c>
      <c r="X4350" s="5">
        <f>(T4350-W4350)/T4350</f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>T4350-W4350</f>
        <v>48.125</v>
      </c>
      <c r="AL4350" s="5">
        <f>(T4350-W4350)/T4350</f>
        <v>0.5</v>
      </c>
    </row>
    <row r="4351" spans="1:38" x14ac:dyDescent="0.2">
      <c r="A4351" s="2">
        <v>2026</v>
      </c>
      <c r="B4351" s="2">
        <v>7</v>
      </c>
      <c r="C4351" s="2" t="s">
        <v>3443</v>
      </c>
      <c r="D4351" s="15" t="s">
        <v>2021</v>
      </c>
      <c r="E4351" s="2" t="s">
        <v>109</v>
      </c>
      <c r="F4351" s="2" t="s">
        <v>39</v>
      </c>
      <c r="L4351" s="2" t="s">
        <v>178</v>
      </c>
      <c r="M4351" s="2" t="s">
        <v>40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>T4351*23%</f>
        <v>68.424999999999997</v>
      </c>
      <c r="V4351" s="2">
        <f>T4351+U4351</f>
        <v>365.92500000000001</v>
      </c>
      <c r="X4351" s="5">
        <f>(T4351-W4351)/T4351</f>
        <v>1</v>
      </c>
      <c r="Z4351" s="2" t="s">
        <v>120</v>
      </c>
      <c r="AA4351" s="2" t="s">
        <v>3384</v>
      </c>
      <c r="AK4351" s="2">
        <f>T4351-W4351</f>
        <v>297.5</v>
      </c>
      <c r="AL4351" s="5">
        <f>(T4351-W4351)/T4351</f>
        <v>1</v>
      </c>
    </row>
    <row r="4352" spans="1:38" x14ac:dyDescent="0.2">
      <c r="A4352" s="2">
        <v>2026</v>
      </c>
      <c r="B4352" s="2">
        <v>7</v>
      </c>
      <c r="C4352" s="2" t="s">
        <v>3300</v>
      </c>
      <c r="D4352" s="15" t="s">
        <v>3340</v>
      </c>
      <c r="E4352" s="2" t="s">
        <v>109</v>
      </c>
      <c r="F4352" s="2" t="s">
        <v>39</v>
      </c>
      <c r="L4352" s="2" t="s">
        <v>399</v>
      </c>
      <c r="M4352" s="2" t="s">
        <v>110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>T4352*23%</f>
        <v>115</v>
      </c>
      <c r="V4352" s="2">
        <f>T4352+U4352</f>
        <v>615</v>
      </c>
      <c r="X4352" s="5">
        <f>(T4352-W4352)/T4352</f>
        <v>1</v>
      </c>
      <c r="Z4352" s="2" t="s">
        <v>105</v>
      </c>
      <c r="AA4352" s="2" t="s">
        <v>415</v>
      </c>
      <c r="AB4352" s="2" t="s">
        <v>476</v>
      </c>
      <c r="AC4352" s="2" t="s">
        <v>476</v>
      </c>
      <c r="AK4352" s="2">
        <f>T4352-W4352</f>
        <v>500</v>
      </c>
      <c r="AL4352" s="5">
        <f>(T4352-W4352)/T4352</f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>T4353*23%</f>
        <v>13.34</v>
      </c>
      <c r="V4353" s="2">
        <f>T4353+U4353</f>
        <v>71.34</v>
      </c>
      <c r="W4353" s="2">
        <f>14.5099*S4353</f>
        <v>29.0198</v>
      </c>
      <c r="X4353" s="5">
        <f>(T4353-W4353)/T4353</f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>T4353-W4353</f>
        <v>28.9802</v>
      </c>
      <c r="AL4353" s="5">
        <f>(T4353-W4353)/T4353</f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>T4354*23%</f>
        <v>22.080000000000002</v>
      </c>
      <c r="V4354" s="2">
        <f>T4354+U4354</f>
        <v>118.08</v>
      </c>
      <c r="W4354" s="2">
        <f>14.5099*S4354</f>
        <v>58.0396</v>
      </c>
      <c r="X4354" s="5">
        <f>(T4354-W4354)/T4354</f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>T4354-W4354</f>
        <v>37.9604</v>
      </c>
      <c r="AL4354" s="5">
        <f>(T4354-W4354)/T4354</f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>T4355*23%</f>
        <v>40.71</v>
      </c>
      <c r="V4355" s="2">
        <f>T4355+U4355</f>
        <v>217.71</v>
      </c>
      <c r="W4355" s="2">
        <f>T4355*40%</f>
        <v>70.8</v>
      </c>
      <c r="X4355" s="5">
        <f>(T4355-W4355)/T4355</f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>T4355-W4355</f>
        <v>106.2</v>
      </c>
      <c r="AL4355" s="5">
        <f>(T4355-W4355)/T4355</f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>T4356*23%</f>
        <v>12.65</v>
      </c>
      <c r="V4356" s="2">
        <f>T4356+U4356</f>
        <v>67.650000000000006</v>
      </c>
      <c r="W4356" s="2">
        <f>T4356*50%</f>
        <v>27.5</v>
      </c>
      <c r="X4356" s="5">
        <f>(T4356-W4356)/T4356</f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>T4356-W4356</f>
        <v>27.5</v>
      </c>
      <c r="AL4356" s="5">
        <f>(T4356-W4356)/T4356</f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>T4357*23%</f>
        <v>0</v>
      </c>
      <c r="V4357" s="2">
        <f>T4357+U4357</f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>T4357-W4357</f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>T4358*23%</f>
        <v>0</v>
      </c>
      <c r="V4358" s="2">
        <f>T4358+U4358</f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>T4358-W4358</f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>T4359*23%</f>
        <v>2760</v>
      </c>
      <c r="V4359" s="2">
        <f>T4359+U4359</f>
        <v>14760</v>
      </c>
      <c r="W4359" s="2">
        <f>10440+150</f>
        <v>10590</v>
      </c>
      <c r="X4359" s="5">
        <f>(T4359-W4359)/T4359</f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>T4359-W4359</f>
        <v>1410</v>
      </c>
      <c r="AL4359" s="5">
        <f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>T4360*23%</f>
        <v>43.7</v>
      </c>
      <c r="V4360" s="2">
        <f>T4360+U4360</f>
        <v>233.7</v>
      </c>
      <c r="W4360" s="2">
        <v>125.51600000000001</v>
      </c>
      <c r="X4360" s="5">
        <f>(T4360-W4360)/T4360</f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>T4360-W4360</f>
        <v>64.483999999999995</v>
      </c>
      <c r="AL4360" s="5">
        <f>(T4360-W4360)/T4360</f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>T4361*23%</f>
        <v>0.34040000000000004</v>
      </c>
      <c r="V4361" s="2">
        <f>T4361+U4361</f>
        <v>1.8204</v>
      </c>
      <c r="W4361" s="2">
        <v>1.48</v>
      </c>
      <c r="X4361" s="5">
        <f>(T4361-W4361)/T4361</f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>T4361-W4361</f>
        <v>0</v>
      </c>
      <c r="AL4361" s="5">
        <f>(T4361-W4361)/T4361</f>
        <v>0</v>
      </c>
    </row>
    <row r="4362" spans="1:38" x14ac:dyDescent="0.2">
      <c r="A4362" s="2">
        <v>2026</v>
      </c>
      <c r="B4362" s="2">
        <v>7</v>
      </c>
      <c r="C4362" s="2" t="s">
        <v>3299</v>
      </c>
      <c r="D4362" s="15" t="s">
        <v>463</v>
      </c>
      <c r="E4362" s="2" t="s">
        <v>109</v>
      </c>
      <c r="F4362" s="2" t="s">
        <v>39</v>
      </c>
      <c r="L4362" s="2" t="s">
        <v>113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>T4362*23%</f>
        <v>18.075700000000001</v>
      </c>
      <c r="V4362" s="2">
        <f>T4362+U4362</f>
        <v>96.665700000000001</v>
      </c>
      <c r="W4362" s="2">
        <f>36.2258</f>
        <v>36.2258</v>
      </c>
      <c r="X4362" s="5">
        <f>(T4362-W4362)/T4362</f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>T4362-W4362</f>
        <v>42.364200000000004</v>
      </c>
      <c r="AL4362" s="5">
        <f>(T4362-W4362)/T4362</f>
        <v>0.53905331467107775</v>
      </c>
    </row>
    <row r="4363" spans="1:38" x14ac:dyDescent="0.2">
      <c r="A4363" s="2">
        <v>2026</v>
      </c>
      <c r="B4363" s="2">
        <v>7</v>
      </c>
      <c r="C4363" s="2" t="s">
        <v>3299</v>
      </c>
      <c r="D4363" s="15" t="s">
        <v>463</v>
      </c>
      <c r="E4363" s="2" t="s">
        <v>109</v>
      </c>
      <c r="F4363" s="2" t="s">
        <v>39</v>
      </c>
      <c r="L4363" s="2" t="s">
        <v>113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>T4363*23%</f>
        <v>1.61</v>
      </c>
      <c r="V4363" s="2">
        <f>T4363+U4363</f>
        <v>8.61</v>
      </c>
      <c r="X4363" s="5">
        <f>(T4363-W4363)/T4363</f>
        <v>1</v>
      </c>
      <c r="Z4363" s="2" t="s">
        <v>170</v>
      </c>
      <c r="AA4363" s="2" t="s">
        <v>170</v>
      </c>
      <c r="AK4363" s="2">
        <f>T4363-W4363</f>
        <v>7</v>
      </c>
      <c r="AL4363" s="5">
        <f>(T4363-W4363)/T4363</f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3419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>T4364*23%</f>
        <v>368</v>
      </c>
      <c r="V4364" s="2">
        <f>T4364+U4364</f>
        <v>1968</v>
      </c>
      <c r="W4364" s="2">
        <v>1244.2445</v>
      </c>
      <c r="X4364" s="5">
        <f>(T4364-W4364)/T4364</f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>T4364-W4364</f>
        <v>355.75549999999998</v>
      </c>
      <c r="AL4364" s="5">
        <f>(T4364-W4364)/T4364</f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3419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>T4365*23%</f>
        <v>1012</v>
      </c>
      <c r="V4365" s="2">
        <f>T4365+U4365</f>
        <v>5412</v>
      </c>
      <c r="W4365" s="2">
        <f>3229.76+112.87</f>
        <v>3342.63</v>
      </c>
      <c r="X4365" s="5">
        <f>(T4365-W4365)/T4365</f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>T4365-W4365</f>
        <v>1057.3699999999999</v>
      </c>
      <c r="AL4365" s="5">
        <f>(T4365-W4365)/T4365</f>
        <v>0.2403113636363636</v>
      </c>
    </row>
    <row r="4366" spans="1:38" x14ac:dyDescent="0.2">
      <c r="A4366" s="2">
        <v>2026</v>
      </c>
      <c r="B4366" s="2">
        <v>7</v>
      </c>
      <c r="C4366" s="2" t="s">
        <v>3300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>T4366*23%</f>
        <v>13.510200000000001</v>
      </c>
      <c r="V4366" s="2">
        <f>T4366+U4366</f>
        <v>72.250200000000007</v>
      </c>
      <c r="W4366" s="2">
        <v>27.86</v>
      </c>
      <c r="X4366" s="5">
        <f>(T4366-W4366)/T4366</f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>T4366-W4366</f>
        <v>30.880000000000003</v>
      </c>
      <c r="AL4366" s="5">
        <f>(T4366-W4366)/T4366</f>
        <v>0.52570650323459311</v>
      </c>
    </row>
    <row r="4367" spans="1:38" x14ac:dyDescent="0.2">
      <c r="A4367" s="2">
        <v>2026</v>
      </c>
      <c r="B4367" s="2">
        <v>7</v>
      </c>
      <c r="C4367" s="2" t="s">
        <v>3300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>T4367*23%</f>
        <v>12.65</v>
      </c>
      <c r="V4367" s="2">
        <f>T4367+U4367</f>
        <v>67.650000000000006</v>
      </c>
      <c r="W4367" s="2">
        <f>T4367*40%</f>
        <v>22</v>
      </c>
      <c r="X4367" s="5">
        <f>(T4367-W4367)/T4367</f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>T4367-W4367</f>
        <v>33</v>
      </c>
      <c r="AL4367" s="5">
        <f>(T4367-W4367)/T4367</f>
        <v>0.6</v>
      </c>
    </row>
    <row r="4368" spans="1:38" x14ac:dyDescent="0.2">
      <c r="A4368" s="2">
        <v>2026</v>
      </c>
      <c r="B4368" s="2">
        <v>7</v>
      </c>
      <c r="C4368" s="2" t="s">
        <v>3300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>T4368*23%</f>
        <v>18.975000000000001</v>
      </c>
      <c r="V4368" s="2">
        <f>T4368+U4368</f>
        <v>101.47499999999999</v>
      </c>
      <c r="W4368" s="2">
        <f>T4368*50%</f>
        <v>41.25</v>
      </c>
      <c r="X4368" s="5">
        <f>(T4368-W4368)/T4368</f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>T4368-W4368</f>
        <v>41.25</v>
      </c>
      <c r="AL4368" s="5">
        <f>(T4368-W4368)/T4368</f>
        <v>0.5</v>
      </c>
    </row>
    <row r="4369" spans="1:38" x14ac:dyDescent="0.2">
      <c r="A4369" s="2">
        <v>2026</v>
      </c>
      <c r="B4369" s="2">
        <v>7</v>
      </c>
      <c r="C4369" s="2" t="s">
        <v>3300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>T4369*23%</f>
        <v>2.1482000000000001</v>
      </c>
      <c r="V4369" s="2">
        <f>T4369+U4369</f>
        <v>11.488199999999999</v>
      </c>
      <c r="X4369" s="5">
        <f>(T4369-W4369)/T4369</f>
        <v>1</v>
      </c>
      <c r="Z4369" s="2" t="s">
        <v>120</v>
      </c>
      <c r="AA4369" s="2" t="s">
        <v>3384</v>
      </c>
      <c r="AK4369" s="2">
        <f>T4369-W4369</f>
        <v>9.34</v>
      </c>
      <c r="AL4369" s="5">
        <f>(T4369-W4369)/T4369</f>
        <v>1</v>
      </c>
    </row>
    <row r="4370" spans="1:38" x14ac:dyDescent="0.2">
      <c r="A4370" s="2">
        <v>2026</v>
      </c>
      <c r="B4370" s="2">
        <v>7</v>
      </c>
      <c r="C4370" s="2" t="s">
        <v>3300</v>
      </c>
      <c r="D4370" s="15" t="s">
        <v>3342</v>
      </c>
      <c r="E4370" s="2" t="s">
        <v>38</v>
      </c>
      <c r="F4370" s="2" t="s">
        <v>39</v>
      </c>
      <c r="L4370" s="2" t="s">
        <v>134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>T4370*23%</f>
        <v>160.839</v>
      </c>
      <c r="V4370" s="2">
        <f>T4370+U4370</f>
        <v>860.1389999999999</v>
      </c>
      <c r="W4370" s="2">
        <v>343.38580000000002</v>
      </c>
      <c r="X4370" s="5">
        <f>(T4370-W4370)/T4370</f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>T4370-W4370</f>
        <v>355.91419999999994</v>
      </c>
      <c r="AL4370" s="5">
        <f>(T4370-W4370)/T4370</f>
        <v>0.50895781495781489</v>
      </c>
    </row>
    <row r="4371" spans="1:38" x14ac:dyDescent="0.2">
      <c r="A4371" s="2">
        <v>2026</v>
      </c>
      <c r="B4371" s="2">
        <v>7</v>
      </c>
      <c r="C4371" s="2" t="s">
        <v>3300</v>
      </c>
      <c r="D4371" s="15" t="s">
        <v>3342</v>
      </c>
      <c r="E4371" s="2" t="s">
        <v>38</v>
      </c>
      <c r="F4371" s="2" t="s">
        <v>39</v>
      </c>
      <c r="L4371" s="2" t="s">
        <v>134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>T4371*23%</f>
        <v>40.25</v>
      </c>
      <c r="V4371" s="2">
        <f>T4371+U4371</f>
        <v>215.25</v>
      </c>
      <c r="W4371" s="2">
        <f>T4371*40%</f>
        <v>70</v>
      </c>
      <c r="X4371" s="5">
        <f>(T4371-W4371)/T4371</f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>T4371-W4371</f>
        <v>105</v>
      </c>
      <c r="AL4371" s="5">
        <f>(T4371-W4371)/T4371</f>
        <v>0.6</v>
      </c>
    </row>
    <row r="4372" spans="1:38" x14ac:dyDescent="0.2">
      <c r="A4372" s="2">
        <v>2026</v>
      </c>
      <c r="B4372" s="2">
        <v>7</v>
      </c>
      <c r="C4372" s="2" t="s">
        <v>3300</v>
      </c>
      <c r="D4372" s="15" t="s">
        <v>3342</v>
      </c>
      <c r="E4372" s="2" t="s">
        <v>38</v>
      </c>
      <c r="F4372" s="2" t="s">
        <v>39</v>
      </c>
      <c r="L4372" s="2" t="s">
        <v>134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>T4372*23%</f>
        <v>12.65</v>
      </c>
      <c r="V4372" s="2">
        <f>T4372+U4372</f>
        <v>67.650000000000006</v>
      </c>
      <c r="W4372" s="2">
        <f>T4372*50%</f>
        <v>27.5</v>
      </c>
      <c r="X4372" s="5">
        <f>(T4372-W4372)/T4372</f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>T4372-W4372</f>
        <v>27.5</v>
      </c>
      <c r="AL4372" s="5">
        <f>(T4372-W4372)/T4372</f>
        <v>0.5</v>
      </c>
    </row>
    <row r="4373" spans="1:38" x14ac:dyDescent="0.2">
      <c r="A4373" s="2">
        <v>2026</v>
      </c>
      <c r="B4373" s="2">
        <v>7</v>
      </c>
      <c r="C4373" s="8" t="s">
        <v>3299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>T4373*23%</f>
        <v>2.99</v>
      </c>
      <c r="V4373" s="2">
        <f>T4373+U4373</f>
        <v>15.99</v>
      </c>
      <c r="W4373" s="2">
        <f>6.6267*S4373</f>
        <v>6.6266999999999996</v>
      </c>
      <c r="X4373" s="5">
        <f>(T4373-W4373)/T4373</f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>T4373-W4373</f>
        <v>6.3733000000000004</v>
      </c>
      <c r="AL4373" s="5">
        <f>(T4373-W4373)/T4373</f>
        <v>0.49025384615384621</v>
      </c>
    </row>
    <row r="4374" spans="1:38" x14ac:dyDescent="0.2">
      <c r="A4374" s="2">
        <v>2026</v>
      </c>
      <c r="B4374" s="2">
        <v>7</v>
      </c>
      <c r="C4374" s="8" t="s">
        <v>3299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>T4374*23%</f>
        <v>8.2800000000000011</v>
      </c>
      <c r="V4374" s="2">
        <f>T4374+U4374</f>
        <v>44.28</v>
      </c>
      <c r="W4374" s="2">
        <f>10.6*S4374</f>
        <v>21.2</v>
      </c>
      <c r="X4374" s="5">
        <f>(T4374-W4374)/T4374</f>
        <v>0.41111111111111115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>T4374-W4374</f>
        <v>14.8</v>
      </c>
      <c r="AL4374" s="5">
        <f>(T4374-W4374)/T4374</f>
        <v>0.41111111111111115</v>
      </c>
    </row>
    <row r="4375" spans="1:38" x14ac:dyDescent="0.2">
      <c r="A4375" s="2">
        <v>2026</v>
      </c>
      <c r="B4375" s="2">
        <v>7</v>
      </c>
      <c r="C4375" s="8" t="s">
        <v>3299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>T4375*23%</f>
        <v>2.99</v>
      </c>
      <c r="V4375" s="2">
        <f>T4375+U4375</f>
        <v>15.99</v>
      </c>
      <c r="W4375" s="2">
        <f>0.0914*S4375</f>
        <v>9.1399999999999988</v>
      </c>
      <c r="X4375" s="5">
        <f>(T4375-W4375)/T4375</f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>T4375-W4375</f>
        <v>3.8600000000000012</v>
      </c>
      <c r="AL4375" s="5">
        <f>(T4375-W4375)/T4375</f>
        <v>0.29692307692307701</v>
      </c>
    </row>
    <row r="4376" spans="1:38" x14ac:dyDescent="0.2">
      <c r="A4376" s="2">
        <v>2026</v>
      </c>
      <c r="B4376" s="2">
        <v>7</v>
      </c>
      <c r="C4376" s="8" t="s">
        <v>3299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>T4376*23%</f>
        <v>1.84</v>
      </c>
      <c r="V4376" s="2">
        <f>T4376+U4376</f>
        <v>9.84</v>
      </c>
      <c r="X4376" s="5">
        <f>(T4376-W4376)/T4376</f>
        <v>1</v>
      </c>
      <c r="Z4376" s="2" t="s">
        <v>170</v>
      </c>
      <c r="AA4376" s="2" t="s">
        <v>170</v>
      </c>
      <c r="AK4376" s="2">
        <f>T4376-W4376</f>
        <v>8</v>
      </c>
      <c r="AL4376" s="5">
        <f>(T4376-W4376)/T4376</f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>T4377*23%</f>
        <v>9.66</v>
      </c>
      <c r="V4377" s="2">
        <f>T4377+U4377</f>
        <v>51.66</v>
      </c>
      <c r="W4377" s="2">
        <f>14.4*S4377</f>
        <v>28.8</v>
      </c>
      <c r="X4377" s="5">
        <f>(T4377-W4377)/T4377</f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>T4377-W4377</f>
        <v>13.2</v>
      </c>
      <c r="AL4377" s="5">
        <f>(T4377-W4377)/T4377</f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>T4378*23%</f>
        <v>19.55</v>
      </c>
      <c r="V4378" s="2">
        <f>T4378+U4378</f>
        <v>104.55</v>
      </c>
      <c r="W4378" s="2">
        <f>10.6*S4378</f>
        <v>53</v>
      </c>
      <c r="X4378" s="5">
        <f>(T4378-W4378)/T4378</f>
        <v>0.37647058823529411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>T4378-W4378</f>
        <v>32</v>
      </c>
      <c r="AL4378" s="5">
        <f>(T4378-W4378)/T4378</f>
        <v>0.37647058823529411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>T4379*23%</f>
        <v>10.58</v>
      </c>
      <c r="V4379" s="2">
        <f>T4379+U4379</f>
        <v>56.58</v>
      </c>
      <c r="W4379" s="2">
        <f>0.082*S4379</f>
        <v>32.800000000000004</v>
      </c>
      <c r="X4379" s="5">
        <f>(T4379-W4379)/T4379</f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>T4379-W4379</f>
        <v>13.199999999999996</v>
      </c>
      <c r="AL4379" s="5">
        <f>(T4379-W4379)/T4379</f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>T4380*23%</f>
        <v>156.14930000000001</v>
      </c>
      <c r="V4380" s="2">
        <f>T4380+U4380</f>
        <v>835.05930000000001</v>
      </c>
      <c r="X4380" s="5">
        <f>(T4380-W4380)/T4380</f>
        <v>1</v>
      </c>
      <c r="Z4380" s="2" t="s">
        <v>120</v>
      </c>
      <c r="AA4380" s="2" t="s">
        <v>493</v>
      </c>
      <c r="AK4380" s="2">
        <f>T4380-W4380</f>
        <v>678.91</v>
      </c>
      <c r="AL4380" s="5">
        <f>(T4380-W4380)/T4380</f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>T4381*23%</f>
        <v>160.839</v>
      </c>
      <c r="V4381" s="2">
        <f>T4381+U4381</f>
        <v>860.1389999999999</v>
      </c>
      <c r="W4381" s="2">
        <v>343.38580000000002</v>
      </c>
      <c r="X4381" s="5">
        <f>(T4381-W4381)/T4381</f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>T4381-W4381</f>
        <v>355.91419999999994</v>
      </c>
      <c r="AL4381" s="5">
        <f>(T4381-W4381)/T4381</f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>T4382*23%</f>
        <v>13.8</v>
      </c>
      <c r="V4382" s="2">
        <f>T4382+U4382</f>
        <v>73.8</v>
      </c>
      <c r="W4382" s="2">
        <f>T4382*40%</f>
        <v>24</v>
      </c>
      <c r="X4382" s="5">
        <f>(T4382-W4382)/T4382</f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>T4382-W4382</f>
        <v>36</v>
      </c>
      <c r="AL4382" s="5">
        <f>(T4382-W4382)/T4382</f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>T4383*23%</f>
        <v>12.65</v>
      </c>
      <c r="V4383" s="2">
        <f>T4383+U4383</f>
        <v>67.650000000000006</v>
      </c>
      <c r="W4383" s="2">
        <f>T4383*50%</f>
        <v>27.5</v>
      </c>
      <c r="X4383" s="5">
        <f>(T4383-W4383)/T4383</f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>T4383-W4383</f>
        <v>27.5</v>
      </c>
      <c r="AL4383" s="5">
        <f>(T4383-W4383)/T4383</f>
        <v>0.5</v>
      </c>
    </row>
    <row r="4384" spans="1:38" x14ac:dyDescent="0.2">
      <c r="A4384" s="2">
        <v>2026</v>
      </c>
      <c r="B4384" s="2">
        <v>7</v>
      </c>
      <c r="C4384" s="8" t="s">
        <v>3299</v>
      </c>
      <c r="D4384" s="15" t="s">
        <v>2157</v>
      </c>
      <c r="E4384" s="2" t="s">
        <v>38</v>
      </c>
      <c r="F4384" s="2" t="s">
        <v>39</v>
      </c>
      <c r="L4384" s="2" t="s">
        <v>345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>T4384*23%</f>
        <v>92.69</v>
      </c>
      <c r="V4384" s="2">
        <f>T4384+U4384</f>
        <v>495.69</v>
      </c>
      <c r="W4384" s="2">
        <f>T4384*40%</f>
        <v>161.20000000000002</v>
      </c>
      <c r="X4384" s="5">
        <f>(T4384-W4384)/T4384</f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>T4384-W4384</f>
        <v>241.79999999999998</v>
      </c>
      <c r="AL4384" s="5">
        <f>(T4384-W4384)/T4384</f>
        <v>0.6</v>
      </c>
    </row>
    <row r="4385" spans="1:38" x14ac:dyDescent="0.2">
      <c r="A4385" s="2">
        <v>2026</v>
      </c>
      <c r="B4385" s="2">
        <v>7</v>
      </c>
      <c r="C4385" s="8" t="s">
        <v>3299</v>
      </c>
      <c r="D4385" s="15" t="s">
        <v>2157</v>
      </c>
      <c r="E4385" s="2" t="s">
        <v>38</v>
      </c>
      <c r="F4385" s="2" t="s">
        <v>39</v>
      </c>
      <c r="L4385" s="2" t="s">
        <v>345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>T4385*23%</f>
        <v>12.65</v>
      </c>
      <c r="V4385" s="2">
        <f>T4385+U4385</f>
        <v>67.650000000000006</v>
      </c>
      <c r="W4385" s="2">
        <f>T4385*50%</f>
        <v>27.5</v>
      </c>
      <c r="X4385" s="5">
        <f>(T4385-W4385)/T4385</f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>T4385-W4385</f>
        <v>27.5</v>
      </c>
      <c r="AL4385" s="5">
        <f>(T4385-W4385)/T4385</f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>T4386*23%</f>
        <v>7.4864999999999995</v>
      </c>
      <c r="V4386" s="2">
        <f>T4386+U4386</f>
        <v>40.036499999999997</v>
      </c>
      <c r="W4386" s="2">
        <f>(7.38+0.13)*S4386</f>
        <v>15.02</v>
      </c>
      <c r="X4386" s="5">
        <f>(T4386-W4386)/T4386</f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>T4386-W4386</f>
        <v>17.529999999999998</v>
      </c>
      <c r="AL4386" s="5">
        <f>(T4386-W4386)/T4386</f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E4387" s="2" t="s">
        <v>38</v>
      </c>
      <c r="F4387" s="2" t="s">
        <v>3449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>T4387*23%</f>
        <v>6.67</v>
      </c>
      <c r="V4387" s="2">
        <f>T4387+U4387</f>
        <v>35.67</v>
      </c>
      <c r="W4387" s="2">
        <f>14.5099*S4387</f>
        <v>14.5099</v>
      </c>
      <c r="X4387" s="5">
        <f>(T4387-W4387)/T4387</f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>T4387-W4387</f>
        <v>14.4901</v>
      </c>
      <c r="AL4387" s="5">
        <f>(T4387-W4387)/T4387</f>
        <v>0.49965862068965516</v>
      </c>
    </row>
    <row r="4388" spans="1:38" x14ac:dyDescent="0.2">
      <c r="A4388" s="2">
        <v>2026</v>
      </c>
      <c r="B4388" s="2">
        <v>7</v>
      </c>
      <c r="C4388" s="8" t="s">
        <v>3299</v>
      </c>
      <c r="D4388" s="15" t="s">
        <v>1075</v>
      </c>
      <c r="E4388" s="2" t="s">
        <v>109</v>
      </c>
      <c r="F4388" s="2" t="s">
        <v>39</v>
      </c>
      <c r="L4388" s="2" t="s">
        <v>462</v>
      </c>
      <c r="M4388" s="2" t="s">
        <v>41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>T4388*23%</f>
        <v>50.6</v>
      </c>
      <c r="V4388" s="2">
        <f>T4388+U4388</f>
        <v>270.60000000000002</v>
      </c>
      <c r="W4388" s="2">
        <v>125.15</v>
      </c>
      <c r="X4388" s="5">
        <f>(T4388-W4388)/T4388</f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>T4388-W4388</f>
        <v>94.85</v>
      </c>
      <c r="AL4388" s="5">
        <f>(T4388-W4388)/T4388</f>
        <v>0.4311363636363636</v>
      </c>
    </row>
    <row r="4389" spans="1:38" x14ac:dyDescent="0.2">
      <c r="A4389" s="2">
        <v>2026</v>
      </c>
      <c r="B4389" s="2">
        <v>7</v>
      </c>
      <c r="C4389" s="8" t="s">
        <v>3299</v>
      </c>
      <c r="D4389" s="15" t="s">
        <v>1075</v>
      </c>
      <c r="E4389" s="2" t="s">
        <v>109</v>
      </c>
      <c r="F4389" s="2" t="s">
        <v>39</v>
      </c>
      <c r="L4389" s="2" t="s">
        <v>462</v>
      </c>
      <c r="M4389" s="2" t="s">
        <v>41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>T4389*23%</f>
        <v>0.34040000000000004</v>
      </c>
      <c r="V4389" s="2">
        <f>T4389+U4389</f>
        <v>1.8204</v>
      </c>
      <c r="X4389" s="5">
        <f>(T4389-W4389)/T4389</f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>T4389-W4389</f>
        <v>1.48</v>
      </c>
      <c r="AL4389" s="5">
        <f>(T4389-W4389)/T4389</f>
        <v>1</v>
      </c>
    </row>
    <row r="4390" spans="1:38" x14ac:dyDescent="0.2">
      <c r="A4390" s="2">
        <v>2026</v>
      </c>
      <c r="B4390" s="2">
        <v>7</v>
      </c>
      <c r="C4390" s="8" t="s">
        <v>3299</v>
      </c>
      <c r="D4390" s="15" t="s">
        <v>3345</v>
      </c>
      <c r="E4390" s="2" t="s">
        <v>38</v>
      </c>
      <c r="F4390" s="2" t="s">
        <v>39</v>
      </c>
      <c r="L4390" s="2" t="s">
        <v>361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>T4390*23%</f>
        <v>68.08</v>
      </c>
      <c r="V4390" s="2">
        <f>T4390+U4390</f>
        <v>364.08</v>
      </c>
      <c r="W4390" s="2">
        <f>T4390*40%</f>
        <v>118.4</v>
      </c>
      <c r="X4390" s="5">
        <f>(T4390-W4390)/T4390</f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>T4390-W4390</f>
        <v>177.6</v>
      </c>
      <c r="AL4390" s="5">
        <f>(T4390-W4390)/T4390</f>
        <v>0.6</v>
      </c>
    </row>
    <row r="4391" spans="1:38" x14ac:dyDescent="0.2">
      <c r="A4391" s="2">
        <v>2026</v>
      </c>
      <c r="B4391" s="2">
        <v>7</v>
      </c>
      <c r="C4391" s="8" t="s">
        <v>3299</v>
      </c>
      <c r="D4391" s="15" t="s">
        <v>3345</v>
      </c>
      <c r="E4391" s="2" t="s">
        <v>38</v>
      </c>
      <c r="F4391" s="2" t="s">
        <v>39</v>
      </c>
      <c r="L4391" s="2" t="s">
        <v>361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>T4391*23%</f>
        <v>12.65</v>
      </c>
      <c r="V4391" s="2">
        <f>T4391+U4391</f>
        <v>67.650000000000006</v>
      </c>
      <c r="W4391" s="2">
        <f>T4391*50%</f>
        <v>27.5</v>
      </c>
      <c r="X4391" s="5">
        <f>(T4391-W4391)/T4391</f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>T4391-W4391</f>
        <v>27.5</v>
      </c>
      <c r="AL4391" s="5">
        <f>(T4391-W4391)/T4391</f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>T4392*23%</f>
        <v>51.75</v>
      </c>
      <c r="V4392" s="2">
        <f>T4392+U4392</f>
        <v>276.75</v>
      </c>
      <c r="W4392" s="2">
        <v>125.51600000000001</v>
      </c>
      <c r="X4392" s="5">
        <f>(T4392-W4392)/T4392</f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>T4392-W4392</f>
        <v>99.483999999999995</v>
      </c>
      <c r="AL4392" s="5">
        <f>(T4392-W4392)/T4392</f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>T4393*23%</f>
        <v>0.34040000000000004</v>
      </c>
      <c r="V4393" s="2">
        <f>T4393+U4393</f>
        <v>1.8204</v>
      </c>
      <c r="W4393" s="2">
        <v>1.48</v>
      </c>
      <c r="X4393" s="5">
        <f>(T4393-W4393)/T4393</f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>T4393-W4393</f>
        <v>0</v>
      </c>
      <c r="AL4393" s="5">
        <f>(T4393-W4393)/T4393</f>
        <v>0</v>
      </c>
    </row>
    <row r="4394" spans="1:38" x14ac:dyDescent="0.2">
      <c r="A4394" s="2">
        <v>2026</v>
      </c>
      <c r="B4394" s="2">
        <v>7</v>
      </c>
      <c r="C4394" s="8" t="s">
        <v>3299</v>
      </c>
      <c r="D4394" s="15" t="s">
        <v>3346</v>
      </c>
      <c r="E4394" s="2" t="s">
        <v>38</v>
      </c>
      <c r="F4394" s="2" t="s">
        <v>39</v>
      </c>
      <c r="L4394" s="2" t="s">
        <v>100</v>
      </c>
      <c r="M4394" s="2" t="s">
        <v>81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>T4394*23%</f>
        <v>86.25</v>
      </c>
      <c r="V4394" s="2">
        <f>T4394+U4394</f>
        <v>461.25</v>
      </c>
      <c r="W4394" s="2">
        <v>227.14</v>
      </c>
      <c r="X4394" s="5">
        <f>(T4394-W4394)/T4394</f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>T4394-W4394</f>
        <v>147.86000000000001</v>
      </c>
      <c r="AL4394" s="5">
        <f>(T4394-W4394)/T4394</f>
        <v>0.39429333333333338</v>
      </c>
    </row>
    <row r="4395" spans="1:38" x14ac:dyDescent="0.2">
      <c r="A4395" s="2">
        <v>2026</v>
      </c>
      <c r="B4395" s="2">
        <v>7</v>
      </c>
      <c r="C4395" s="8" t="s">
        <v>3299</v>
      </c>
      <c r="D4395" s="15" t="s">
        <v>3346</v>
      </c>
      <c r="E4395" s="2" t="s">
        <v>38</v>
      </c>
      <c r="F4395" s="2" t="s">
        <v>39</v>
      </c>
      <c r="L4395" s="2" t="s">
        <v>100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>T4395*23%</f>
        <v>0.34040000000000004</v>
      </c>
      <c r="V4395" s="2">
        <f>T4395+U4395</f>
        <v>1.8204</v>
      </c>
      <c r="W4395" s="2">
        <v>1.48</v>
      </c>
      <c r="X4395" s="5">
        <f>(T4395-W4395)/T4395</f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>T4395-W4395</f>
        <v>0</v>
      </c>
      <c r="AL4395" s="5">
        <f>(T4395-W4395)/T4395</f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E4396" s="2" t="s">
        <v>109</v>
      </c>
      <c r="F4396" s="2" t="s">
        <v>39</v>
      </c>
      <c r="L4396" s="2" t="s">
        <v>100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>T4396*23%</f>
        <v>51.75</v>
      </c>
      <c r="V4396" s="2">
        <f>T4396+U4396</f>
        <v>276.75</v>
      </c>
      <c r="W4396" s="2">
        <v>132.35499999999999</v>
      </c>
      <c r="X4396" s="5">
        <f>(T4396-W4396)/T4396</f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>T4396-W4396</f>
        <v>92.64500000000001</v>
      </c>
      <c r="AL4396" s="5">
        <f>(T4396-W4396)/T4396</f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E4397" s="2" t="s">
        <v>109</v>
      </c>
      <c r="F4397" s="2" t="s">
        <v>39</v>
      </c>
      <c r="L4397" s="2" t="s">
        <v>100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>T4397*23%</f>
        <v>0.34040000000000004</v>
      </c>
      <c r="V4397" s="2">
        <f>T4397+U4397</f>
        <v>1.8204</v>
      </c>
      <c r="W4397" s="2">
        <v>1.48</v>
      </c>
      <c r="X4397" s="5">
        <f>(T4397-W4397)/T4397</f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>T4397-W4397</f>
        <v>0</v>
      </c>
      <c r="AL4397" s="5">
        <f>(T4397-W4397)/T4397</f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>T4398*23%</f>
        <v>8.2800000000000011</v>
      </c>
      <c r="V4398" s="2">
        <f>T4398+U4398</f>
        <v>44.28</v>
      </c>
      <c r="W4398" s="2">
        <f>0.8561*S4398</f>
        <v>17.122</v>
      </c>
      <c r="X4398" s="5">
        <f>(T4398-W4398)/T4398</f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>T4398-W4398</f>
        <v>18.878</v>
      </c>
      <c r="AL4398" s="5">
        <f>(T4398-W4398)/T4398</f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>T4399*23%</f>
        <v>13.8</v>
      </c>
      <c r="V4399" s="2">
        <f>T4399+U4399</f>
        <v>73.8</v>
      </c>
      <c r="X4399" s="5">
        <f>(T4399-W4399)/T4399</f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>T4399-W4399</f>
        <v>60</v>
      </c>
      <c r="AL4399" s="5">
        <f>(T4399-W4399)/T4399</f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E4400" s="2" t="s">
        <v>38</v>
      </c>
      <c r="F4400" s="2" t="s">
        <v>39</v>
      </c>
      <c r="L4400" s="2" t="s">
        <v>462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>T4400*23%</f>
        <v>43.221600000000002</v>
      </c>
      <c r="V4400" s="2">
        <f>T4400+U4400</f>
        <v>231.14159999999998</v>
      </c>
      <c r="W4400" s="2">
        <v>49.96</v>
      </c>
      <c r="X4400" s="5">
        <f>(T4400-W4400)/T4400</f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>T4400-W4400</f>
        <v>137.95999999999998</v>
      </c>
      <c r="AL4400" s="5">
        <f>(T4400-W4400)/T4400</f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E4401" s="2" t="s">
        <v>38</v>
      </c>
      <c r="F4401" s="2" t="s">
        <v>39</v>
      </c>
      <c r="L4401" s="2" t="s">
        <v>462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>T4401*23%</f>
        <v>124.00909999999999</v>
      </c>
      <c r="V4401" s="2">
        <f>T4401+U4401</f>
        <v>663.17909999999995</v>
      </c>
      <c r="W4401" s="2">
        <v>257.3</v>
      </c>
      <c r="X4401" s="5">
        <f>(T4401-W4401)/T4401</f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>T4401-W4401</f>
        <v>281.86999999999995</v>
      </c>
      <c r="AL4401" s="5">
        <f>(T4401-W4401)/T4401</f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E4402" s="2" t="s">
        <v>38</v>
      </c>
      <c r="F4402" s="2" t="s">
        <v>39</v>
      </c>
      <c r="L4402" s="2" t="s">
        <v>462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>T4402*23%</f>
        <v>34.270000000000003</v>
      </c>
      <c r="V4402" s="2">
        <f>T4402+U4402</f>
        <v>183.27</v>
      </c>
      <c r="W4402" s="2">
        <f>T4402*40%</f>
        <v>59.6</v>
      </c>
      <c r="X4402" s="5">
        <f>(T4402-W4402)/T4402</f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>T4402-W4402</f>
        <v>89.4</v>
      </c>
      <c r="AL4402" s="5">
        <f>(T4402-W4402)/T4402</f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E4403" s="2" t="s">
        <v>38</v>
      </c>
      <c r="F4403" s="2" t="s">
        <v>39</v>
      </c>
      <c r="L4403" s="2" t="s">
        <v>462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>T4403*23%</f>
        <v>25.3</v>
      </c>
      <c r="V4403" s="2">
        <f>T4403+U4403</f>
        <v>135.30000000000001</v>
      </c>
      <c r="W4403" s="2">
        <f>T4403*50%</f>
        <v>55</v>
      </c>
      <c r="X4403" s="5">
        <f>(T4403-W4403)/T4403</f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>T4403-W4403</f>
        <v>55</v>
      </c>
      <c r="AL4403" s="5">
        <f>(T4403-W4403)/T4403</f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F4404" s="2" t="s">
        <v>39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>T4404*23%</f>
        <v>23.184000000000001</v>
      </c>
      <c r="V4404" s="2">
        <f>T4404+U4404</f>
        <v>123.98399999999999</v>
      </c>
      <c r="W4404" s="2">
        <f>3*S4404</f>
        <v>24</v>
      </c>
      <c r="X4404" s="5">
        <f>(T4404-W4404)/T4404</f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>T4404-W4404</f>
        <v>76.8</v>
      </c>
      <c r="AL4404" s="5">
        <f>(T4404-W4404)/T4404</f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>T4405*23%</f>
        <v>11.258500000000002</v>
      </c>
      <c r="V4405" s="2">
        <f>T4405+U4405</f>
        <v>60.208500000000001</v>
      </c>
      <c r="W4405" s="2">
        <f>23.042*S4405</f>
        <v>23.042000000000002</v>
      </c>
      <c r="X4405" s="5">
        <f>(T4405-W4405)/T4405</f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>T4405-W4405</f>
        <v>25.908000000000001</v>
      </c>
      <c r="AL4405" s="5">
        <f>(T4405-W4405)/T4405</f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>T4406*23%</f>
        <v>8.9700000000000006</v>
      </c>
      <c r="V4406" s="2">
        <f>T4406+U4406</f>
        <v>47.97</v>
      </c>
      <c r="W4406" s="2">
        <f>6.6267*S4406</f>
        <v>19.880099999999999</v>
      </c>
      <c r="X4406" s="5">
        <f>(T4406-W4406)/T4406</f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>T4406-W4406</f>
        <v>19.119900000000001</v>
      </c>
      <c r="AL4406" s="5">
        <f>(T4406-W4406)/T4406</f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>T4407*23%</f>
        <v>34.5</v>
      </c>
      <c r="V4407" s="2">
        <f>T4407+U4407</f>
        <v>184.5</v>
      </c>
      <c r="W4407" s="2">
        <f>10.6*S4407</f>
        <v>106</v>
      </c>
      <c r="X4407" s="5">
        <f>(T4407-W4407)/T4407</f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>T4407-W4407</f>
        <v>44</v>
      </c>
      <c r="AL4407" s="5">
        <f>(T4407-W4407)/T4407</f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>T4408*23%</f>
        <v>3.22</v>
      </c>
      <c r="V4408" s="2">
        <f>T4408+U4408</f>
        <v>17.22</v>
      </c>
      <c r="W4408" s="2">
        <f>0.0914*S4408</f>
        <v>9.1399999999999988</v>
      </c>
      <c r="X4408" s="5">
        <f>(T4408-W4408)/T4408</f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>T4408-W4408</f>
        <v>4.8600000000000012</v>
      </c>
      <c r="AL4408" s="5">
        <f>(T4408-W4408)/T4408</f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>T4409*23%</f>
        <v>17.48</v>
      </c>
      <c r="V4409" s="2">
        <f>T4409+U4409</f>
        <v>93.48</v>
      </c>
      <c r="W4409" s="2">
        <f>T4409*40%</f>
        <v>30.400000000000002</v>
      </c>
      <c r="X4409" s="5">
        <f>(T4409-W4409)/T4409</f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>T4409-W4409</f>
        <v>45.599999999999994</v>
      </c>
      <c r="AL4409" s="5">
        <f>(T4409-W4409)/T4409</f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>T4410*23%</f>
        <v>12.65</v>
      </c>
      <c r="V4410" s="2">
        <f>T4410+U4410</f>
        <v>67.650000000000006</v>
      </c>
      <c r="W4410" s="2">
        <f>T4410*50%</f>
        <v>27.5</v>
      </c>
      <c r="X4410" s="5">
        <f>(T4410-W4410)/T4410</f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>T4410-W4410</f>
        <v>27.5</v>
      </c>
      <c r="AL4410" s="5">
        <f>(T4410-W4410)/T4410</f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>T4411*23%</f>
        <v>10.143000000000001</v>
      </c>
      <c r="V4411" s="2">
        <f>T4411+U4411</f>
        <v>54.243000000000002</v>
      </c>
      <c r="W4411" s="2">
        <f>11.098*S4411</f>
        <v>22.196000000000002</v>
      </c>
      <c r="X4411" s="5">
        <f>(T4411-W4411)/T4411</f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>T4411-W4411</f>
        <v>21.904</v>
      </c>
      <c r="AL4411" s="5">
        <f>(T4411-W4411)/T4411</f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>T4412*23%</f>
        <v>1.84</v>
      </c>
      <c r="V4412" s="2">
        <f>T4412+U4412</f>
        <v>9.84</v>
      </c>
      <c r="X4412" s="5">
        <f>(T4412-W4412)/T4412</f>
        <v>1</v>
      </c>
      <c r="Z4412" s="2" t="s">
        <v>170</v>
      </c>
      <c r="AA4412" s="2" t="s">
        <v>170</v>
      </c>
      <c r="AK4412" s="2">
        <f>T4412-W4412</f>
        <v>8</v>
      </c>
      <c r="AL4412" s="5">
        <f>(T4412-W4412)/T4412</f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>T4413*23%</f>
        <v>13.144500000000001</v>
      </c>
      <c r="V4413" s="2">
        <f>T4413+U4413</f>
        <v>70.294499999999999</v>
      </c>
      <c r="W4413" s="2">
        <f>5.3525*S4413</f>
        <v>21.41</v>
      </c>
      <c r="X4413" s="5">
        <f>(T4413-W4413)/T4413</f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>T4413-W4413</f>
        <v>35.739999999999995</v>
      </c>
      <c r="AL4413" s="5">
        <f>(T4413-W4413)/T4413</f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>T4414*23%</f>
        <v>1.84</v>
      </c>
      <c r="V4414" s="2">
        <f>T4414+U4414</f>
        <v>9.84</v>
      </c>
      <c r="X4414" s="5">
        <f>(T4414-W4414)/T4414</f>
        <v>1</v>
      </c>
      <c r="Z4414" s="2" t="s">
        <v>170</v>
      </c>
      <c r="AA4414" s="2" t="s">
        <v>170</v>
      </c>
      <c r="AK4414" s="2">
        <f>T4414-W4414</f>
        <v>8</v>
      </c>
      <c r="AL4414" s="5">
        <f>(T4414-W4414)/T4414</f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>(T4415-W4415)/T4415</f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>T4415-W4415</f>
        <v>233.02659999999997</v>
      </c>
      <c r="AL4415" s="5">
        <f>(T4415-W4415)/T4415</f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>T4416*23%</f>
        <v>3220</v>
      </c>
      <c r="V4416" s="2">
        <f>T4416+U4416</f>
        <v>17220</v>
      </c>
      <c r="W4416" s="2">
        <f>10699.41+285.74</f>
        <v>10985.15</v>
      </c>
      <c r="X4416" s="5">
        <f>(T4416-W4416)/T4416</f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>T4416-W4416</f>
        <v>3014.8500000000004</v>
      </c>
      <c r="AL4416" s="5">
        <f>(T4416-W4416)/T4416</f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>T4417*23%</f>
        <v>48.300000000000004</v>
      </c>
      <c r="V4417" s="2">
        <f>T4417+U4417</f>
        <v>258.3</v>
      </c>
      <c r="W4417" s="2">
        <f>113.905+11.25</f>
        <v>125.155</v>
      </c>
      <c r="X4417" s="5">
        <f>(T4417-W4417)/T4417</f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>T4417-W4417</f>
        <v>84.844999999999999</v>
      </c>
      <c r="AL4417" s="5">
        <f>(T4417-W4417)/T4417</f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>T4418*23%</f>
        <v>0.34040000000000004</v>
      </c>
      <c r="V4418" s="2">
        <f>T4418+U4418</f>
        <v>1.8204</v>
      </c>
      <c r="W4418" s="2">
        <v>1.48</v>
      </c>
      <c r="X4418" s="5">
        <f>(T4418-W4418)/T4418</f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>T4418-W4418</f>
        <v>0</v>
      </c>
      <c r="AL4418" s="5">
        <f>(T4418-W4418)/T4418</f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>T4419*23%</f>
        <v>23.816500000000001</v>
      </c>
      <c r="V4419" s="2">
        <f>T4419+U4419</f>
        <v>127.3665</v>
      </c>
      <c r="W4419" s="2">
        <f>57.53+1</f>
        <v>58.53</v>
      </c>
      <c r="X4419" s="5">
        <f>(T4419-W4419)/T4419</f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>T4419-W4419</f>
        <v>45.019999999999996</v>
      </c>
      <c r="AL4419" s="5">
        <f>(T4419-W4419)/T4419</f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>T4420*23%</f>
        <v>572.70000000000005</v>
      </c>
      <c r="V4420" s="2">
        <f>T4420+U4420</f>
        <v>3062.7</v>
      </c>
      <c r="W4420" s="2">
        <f>1907.5+49</f>
        <v>1956.5</v>
      </c>
      <c r="X4420" s="5">
        <f>(T4420-W4420)/T4420</f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>T4420-W4420</f>
        <v>533.5</v>
      </c>
      <c r="AL4420" s="5">
        <f>(T4420-W4420)/T4420</f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3380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>T4421*23%</f>
        <v>160.839</v>
      </c>
      <c r="V4421" s="2">
        <f>T4421+U4421</f>
        <v>860.1389999999999</v>
      </c>
      <c r="W4421" s="2">
        <v>343.38580000000002</v>
      </c>
      <c r="X4421" s="5">
        <f>(T4421-W4421)/T4421</f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>T4421-W4421</f>
        <v>355.91419999999994</v>
      </c>
      <c r="AL4421" s="5">
        <f>(T4421-W4421)/T4421</f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3380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>T4422*23%</f>
        <v>56.580000000000005</v>
      </c>
      <c r="V4422" s="2">
        <f>T4422+U4422</f>
        <v>302.58</v>
      </c>
      <c r="W4422" s="2">
        <f>T4422*40%</f>
        <v>98.4</v>
      </c>
      <c r="X4422" s="5">
        <f>(T4422-W4422)/T4422</f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>T4422-W4422</f>
        <v>147.6</v>
      </c>
      <c r="AL4422" s="5">
        <f>(T4422-W4422)/T4422</f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3380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>T4423*23%</f>
        <v>18.975000000000001</v>
      </c>
      <c r="V4423" s="2">
        <f>T4423+U4423</f>
        <v>101.47499999999999</v>
      </c>
      <c r="W4423" s="2">
        <f>T4423*50%</f>
        <v>41.25</v>
      </c>
      <c r="X4423" s="5">
        <f>(T4423-W4423)/T4423</f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>T4423-W4423</f>
        <v>41.25</v>
      </c>
      <c r="AL4423" s="5">
        <f>(T4423-W4423)/T4423</f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3379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>T4424*23%</f>
        <v>52.900000000000006</v>
      </c>
      <c r="V4424" s="2">
        <f>T4424+U4424</f>
        <v>282.89999999999998</v>
      </c>
      <c r="W4424" s="2">
        <v>125.51600000000001</v>
      </c>
      <c r="X4424" s="5">
        <f>(T4424-W4424)/T4424</f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>T4424-W4424</f>
        <v>104.48399999999999</v>
      </c>
      <c r="AL4424" s="5">
        <f>(T4424-W4424)/T4424</f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3379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>T4425*23%</f>
        <v>0.34040000000000004</v>
      </c>
      <c r="V4425" s="2">
        <f>T4425+U4425</f>
        <v>1.8204</v>
      </c>
      <c r="W4425" s="2">
        <v>1.48</v>
      </c>
      <c r="X4425" s="5">
        <f>(T4425-W4425)/T4425</f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>T4425-W4425</f>
        <v>0</v>
      </c>
      <c r="AL4425" s="5">
        <f>(T4425-W4425)/T4425</f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3378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>T4426*23%</f>
        <v>4.83</v>
      </c>
      <c r="V4426" s="2">
        <f>T4426+U4426</f>
        <v>25.83</v>
      </c>
      <c r="W4426" s="2">
        <f>9.3*S4426</f>
        <v>9.3000000000000007</v>
      </c>
      <c r="X4426" s="5">
        <f>(T4426-W4426)/T4426</f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>T4426-W4426</f>
        <v>11.7</v>
      </c>
      <c r="AL4426" s="5">
        <f>(T4426-W4426)/T4426</f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3378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>T4427*23%</f>
        <v>8.2800000000000011</v>
      </c>
      <c r="V4427" s="2">
        <f>T4427+U4427</f>
        <v>44.28</v>
      </c>
      <c r="W4427" s="2">
        <f>10.6*S4427</f>
        <v>21.2</v>
      </c>
      <c r="X4427" s="5">
        <f>(T4427-W4427)/T4427</f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>T4427-W4427</f>
        <v>14.8</v>
      </c>
      <c r="AL4427" s="5">
        <f>(T4427-W4427)/T4427</f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3378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>T4428*23%</f>
        <v>3.22</v>
      </c>
      <c r="V4428" s="2">
        <f>T4428+U4428</f>
        <v>17.22</v>
      </c>
      <c r="W4428" s="2">
        <f>0.0914*S4428</f>
        <v>9.1399999999999988</v>
      </c>
      <c r="X4428" s="5">
        <f>(T4428-W4428)/T4428</f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>T4428-W4428</f>
        <v>4.8600000000000012</v>
      </c>
      <c r="AL4428" s="5">
        <f>(T4428-W4428)/T4428</f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3377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>T4429*23%</f>
        <v>36.282499999999999</v>
      </c>
      <c r="V4429" s="2">
        <f>T4429+U4429</f>
        <v>194.0325</v>
      </c>
      <c r="W4429" s="2">
        <f>6.26*S4429</f>
        <v>75.12</v>
      </c>
      <c r="X4429" s="5">
        <f>(T4429-W4429)/T4429</f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>T4429-W4429</f>
        <v>82.63</v>
      </c>
      <c r="AL4429" s="5">
        <f>(T4429-W4429)/T4429</f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3377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>T4430*23%</f>
        <v>131.35760000000002</v>
      </c>
      <c r="V4430" s="2">
        <f>T4430+U4430</f>
        <v>702.47760000000005</v>
      </c>
      <c r="W4430" s="2">
        <f>135.98+1.76*S4430</f>
        <v>139.5</v>
      </c>
      <c r="X4430" s="5">
        <f>(T4430-W4430)/T4430</f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>T4430-W4430</f>
        <v>431.62</v>
      </c>
      <c r="AL4430" s="5">
        <f>(T4430-W4430)/T4430</f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3377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>T4431*23%</f>
        <v>27.047999999999998</v>
      </c>
      <c r="V4431" s="2">
        <f>T4431+U4431</f>
        <v>144.648</v>
      </c>
      <c r="W4431" s="2">
        <f>3.5+5*S4431</f>
        <v>83.5</v>
      </c>
      <c r="X4431" s="5">
        <f>(T4431-W4431)/T4431</f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34.099999999999994</v>
      </c>
      <c r="AL4431" s="5">
        <f>(T4431-W4431)/T4431</f>
        <v>0.28996598639455778</v>
      </c>
    </row>
    <row r="4432" spans="1:38" x14ac:dyDescent="0.2">
      <c r="A4432" s="2">
        <v>2026</v>
      </c>
      <c r="B4432" s="2">
        <v>7</v>
      </c>
      <c r="C4432" s="2" t="s">
        <v>3429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>T4432*23%</f>
        <v>11.040000000000001</v>
      </c>
      <c r="V4432" s="2">
        <f>T4432+U4432</f>
        <v>59.04</v>
      </c>
      <c r="W4432" s="2">
        <f>10.6*S4432</f>
        <v>31.799999999999997</v>
      </c>
      <c r="X4432" s="5">
        <f>(T4432-W4432)/T4432</f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>T4432-W4432</f>
        <v>16.200000000000003</v>
      </c>
      <c r="AL4432" s="5">
        <f>(T4432-W4432)/T4432</f>
        <v>0.33750000000000008</v>
      </c>
    </row>
    <row r="4433" spans="1:38" x14ac:dyDescent="0.2">
      <c r="A4433" s="2">
        <v>2026</v>
      </c>
      <c r="B4433" s="2">
        <v>7</v>
      </c>
      <c r="C4433" s="2" t="s">
        <v>3429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>T4433*23%</f>
        <v>16.100000000000001</v>
      </c>
      <c r="V4433" s="2">
        <f>T4433+U4433</f>
        <v>86.1</v>
      </c>
      <c r="W4433" s="2">
        <f>0.082*S4433</f>
        <v>57.400000000000006</v>
      </c>
      <c r="X4433" s="5">
        <f>(T4433-W4433)/T4433</f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>T4433-W4433</f>
        <v>12.599999999999994</v>
      </c>
      <c r="AL4433" s="5">
        <f>(T4433-W4433)/T4433</f>
        <v>0.17999999999999991</v>
      </c>
    </row>
    <row r="4434" spans="1:38" x14ac:dyDescent="0.2">
      <c r="A4434" s="2">
        <v>2026</v>
      </c>
      <c r="B4434" s="2">
        <v>7</v>
      </c>
      <c r="C4434" s="2" t="s">
        <v>3429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>T4434*23%</f>
        <v>3.2866999999999997</v>
      </c>
      <c r="V4434" s="2">
        <f>T4434+U4434</f>
        <v>17.576699999999999</v>
      </c>
      <c r="W4434" s="2">
        <v>5.3525</v>
      </c>
      <c r="X4434" s="5">
        <f>(T4434-W4434)/T4434</f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8.9375</v>
      </c>
      <c r="AL4434" s="5">
        <f>(T4434-W4434)/T4434</f>
        <v>0.62543736878936318</v>
      </c>
    </row>
    <row r="4435" spans="1:38" x14ac:dyDescent="0.2">
      <c r="A4435" s="2">
        <v>2026</v>
      </c>
      <c r="B4435" s="2">
        <v>7</v>
      </c>
      <c r="C4435" s="2" t="s">
        <v>3429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>T4435*23%</f>
        <v>96.367699999999999</v>
      </c>
      <c r="V4435" s="2">
        <f>T4435+U4435</f>
        <v>515.35770000000002</v>
      </c>
      <c r="W4435" s="2">
        <v>237.8466</v>
      </c>
      <c r="X4435" s="5">
        <f>(T4435-W4435)/T4435</f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>T4435-W4435</f>
        <v>181.14340000000001</v>
      </c>
      <c r="AL4435" s="5">
        <f>(T4435-W4435)/T4435</f>
        <v>0.43233346857920241</v>
      </c>
    </row>
    <row r="4436" spans="1:38" x14ac:dyDescent="0.2">
      <c r="A4436" s="2">
        <v>2026</v>
      </c>
      <c r="B4436" s="2">
        <v>7</v>
      </c>
      <c r="C4436" s="2" t="s">
        <v>3429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>T4436*23%</f>
        <v>22.77</v>
      </c>
      <c r="V4436" s="2">
        <f>T4436+U4436</f>
        <v>121.77</v>
      </c>
      <c r="W4436" s="2">
        <f>T4436*40%</f>
        <v>39.6</v>
      </c>
      <c r="X4436" s="5">
        <f>(T4436-W4436)/T4436</f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>T4436-W4436</f>
        <v>59.4</v>
      </c>
      <c r="AL4436" s="5">
        <f>(T4436-W4436)/T4436</f>
        <v>0.6</v>
      </c>
    </row>
    <row r="4437" spans="1:38" x14ac:dyDescent="0.2">
      <c r="A4437" s="2">
        <v>2026</v>
      </c>
      <c r="B4437" s="2">
        <v>7</v>
      </c>
      <c r="C4437" s="2" t="s">
        <v>3429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>T4437*23%</f>
        <v>11.385</v>
      </c>
      <c r="V4437" s="2">
        <f>T4437+U4437</f>
        <v>60.884999999999998</v>
      </c>
      <c r="W4437" s="2">
        <f>T4437*50%</f>
        <v>24.75</v>
      </c>
      <c r="X4437" s="5">
        <f>(T4437-W4437)/T4437</f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>T4437-W4437</f>
        <v>24.75</v>
      </c>
      <c r="AL4437" s="5">
        <f>(T4437-W4437)/T4437</f>
        <v>0.5</v>
      </c>
    </row>
    <row r="4438" spans="1:38" x14ac:dyDescent="0.2">
      <c r="A4438" s="2">
        <v>2026</v>
      </c>
      <c r="B4438" s="2">
        <v>7</v>
      </c>
      <c r="C4438" s="2" t="s">
        <v>3429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>T4438*23%</f>
        <v>260.01499999999999</v>
      </c>
      <c r="V4438" s="2">
        <f>T4438+U4438</f>
        <v>1390.5149999999999</v>
      </c>
      <c r="W4438" s="2">
        <v>773.5</v>
      </c>
      <c r="X4438" s="5">
        <f>(T4438-W4438)/T4438</f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>T4438-W4438</f>
        <v>357</v>
      </c>
      <c r="AL4438" s="5">
        <f>(T4438-W4438)/T4438</f>
        <v>0.31578947368421051</v>
      </c>
    </row>
    <row r="4439" spans="1:38" x14ac:dyDescent="0.2">
      <c r="A4439" s="2">
        <v>2026</v>
      </c>
      <c r="B4439" s="2">
        <v>7</v>
      </c>
      <c r="C4439" s="2" t="s">
        <v>3429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>T4439*23%</f>
        <v>13.8</v>
      </c>
      <c r="V4439" s="2">
        <f>T4439+U4439</f>
        <v>73.8</v>
      </c>
      <c r="W4439" s="2">
        <f>T4439*40%</f>
        <v>24</v>
      </c>
      <c r="X4439" s="5">
        <f>(T4439-W4439)/T4439</f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>T4439-W4439</f>
        <v>36</v>
      </c>
      <c r="AL4439" s="5">
        <f>(T4439-W4439)/T4439</f>
        <v>0.6</v>
      </c>
    </row>
    <row r="4440" spans="1:38" x14ac:dyDescent="0.2">
      <c r="A4440" s="2">
        <v>2026</v>
      </c>
      <c r="B4440" s="2">
        <v>7</v>
      </c>
      <c r="C4440" s="2" t="s">
        <v>3429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>T4440*23%</f>
        <v>25.3</v>
      </c>
      <c r="V4440" s="2">
        <f>T4440+U4440</f>
        <v>135.30000000000001</v>
      </c>
      <c r="W4440" s="2">
        <f>T4440*50%</f>
        <v>55</v>
      </c>
      <c r="X4440" s="5">
        <f>(T4440-W4440)/T4440</f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>T4440-W4440</f>
        <v>55</v>
      </c>
      <c r="AL4440" s="5">
        <f>(T4440-W4440)/T4440</f>
        <v>0.5</v>
      </c>
    </row>
    <row r="4441" spans="1:38" x14ac:dyDescent="0.2">
      <c r="A4441" s="2">
        <v>2026</v>
      </c>
      <c r="B4441" s="2">
        <v>7</v>
      </c>
      <c r="C4441" s="2" t="s">
        <v>3429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>T4441*23%</f>
        <v>52.900000000000006</v>
      </c>
      <c r="V4441" s="2">
        <f>T4441+U4441</f>
        <v>282.89999999999998</v>
      </c>
      <c r="W4441" s="2">
        <v>134.57</v>
      </c>
      <c r="X4441" s="5">
        <f>(T4441-W4441)/T4441</f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>T4441-W4441</f>
        <v>95.43</v>
      </c>
      <c r="AL4441" s="5">
        <f>(T4441-W4441)/T4441</f>
        <v>0.41491304347826091</v>
      </c>
    </row>
    <row r="4442" spans="1:38" x14ac:dyDescent="0.2">
      <c r="A4442" s="2">
        <v>2026</v>
      </c>
      <c r="B4442" s="2">
        <v>7</v>
      </c>
      <c r="C4442" s="2" t="s">
        <v>3429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>T4442*23%</f>
        <v>0.34040000000000004</v>
      </c>
      <c r="V4442" s="2">
        <f>T4442+U4442</f>
        <v>1.8204</v>
      </c>
      <c r="W4442" s="2">
        <v>1.48</v>
      </c>
      <c r="X4442" s="5">
        <f>(T4442-W4442)/T4442</f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>T4442-W4442</f>
        <v>0</v>
      </c>
      <c r="AL4442" s="5">
        <f>(T4442-W4442)/T4442</f>
        <v>0</v>
      </c>
    </row>
    <row r="4443" spans="1:38" x14ac:dyDescent="0.2">
      <c r="A4443" s="2">
        <v>2026</v>
      </c>
      <c r="B4443" s="2">
        <v>7</v>
      </c>
      <c r="C4443" s="2" t="s">
        <v>3429</v>
      </c>
      <c r="D4443" s="2" t="s">
        <v>3430</v>
      </c>
      <c r="E4443" s="2" t="s">
        <v>38</v>
      </c>
      <c r="F4443" s="2" t="s">
        <v>39</v>
      </c>
      <c r="L4443" s="2" t="s">
        <v>340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>T4443*23%</f>
        <v>52.900000000000006</v>
      </c>
      <c r="V4443" s="2">
        <f>T4443+U4443</f>
        <v>282.89999999999998</v>
      </c>
      <c r="W4443" s="2">
        <v>133.4614</v>
      </c>
      <c r="X4443" s="5">
        <f>(T4443-W4443)/T4443</f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>T4443-W4443</f>
        <v>96.538600000000002</v>
      </c>
      <c r="AL4443" s="5">
        <f>(T4443-W4443)/T4443</f>
        <v>0.4197330434782609</v>
      </c>
    </row>
    <row r="4444" spans="1:38" x14ac:dyDescent="0.2">
      <c r="A4444" s="2">
        <v>2026</v>
      </c>
      <c r="B4444" s="2">
        <v>7</v>
      </c>
      <c r="C4444" s="2" t="s">
        <v>3429</v>
      </c>
      <c r="D4444" s="2" t="s">
        <v>3430</v>
      </c>
      <c r="E4444" s="2" t="s">
        <v>38</v>
      </c>
      <c r="F4444" s="2" t="s">
        <v>39</v>
      </c>
      <c r="L4444" s="2" t="s">
        <v>340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>T4444*23%</f>
        <v>0.34040000000000004</v>
      </c>
      <c r="V4444" s="2">
        <f>T4444+U4444</f>
        <v>1.8204</v>
      </c>
      <c r="W4444" s="2">
        <v>1.48</v>
      </c>
      <c r="X4444" s="5">
        <f>(T4444-W4444)/T4444</f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>T4444-W4444</f>
        <v>0</v>
      </c>
      <c r="AL4444" s="5">
        <f>(T4444-W4444)/T4444</f>
        <v>0</v>
      </c>
    </row>
    <row r="4445" spans="1:38" x14ac:dyDescent="0.2">
      <c r="A4445" s="2">
        <v>2026</v>
      </c>
      <c r="B4445" s="2">
        <v>7</v>
      </c>
      <c r="C4445" s="2" t="s">
        <v>3429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>T4445*23%</f>
        <v>51.313000000000002</v>
      </c>
      <c r="V4445" s="2">
        <f>T4445+U4445</f>
        <v>274.41300000000001</v>
      </c>
      <c r="W4445" s="2">
        <v>141.16</v>
      </c>
      <c r="X4445" s="5">
        <f>(T4445-W4445)/T4445</f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>T4445-W4445</f>
        <v>81.94</v>
      </c>
      <c r="AL4445" s="5">
        <f>(T4445-W4445)/T4445</f>
        <v>0.36727924697445091</v>
      </c>
    </row>
    <row r="4446" spans="1:38" x14ac:dyDescent="0.2">
      <c r="A4446" s="2">
        <v>2026</v>
      </c>
      <c r="B4446" s="2">
        <v>7</v>
      </c>
      <c r="C4446" s="2" t="s">
        <v>3429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>T4446*23%</f>
        <v>0.34040000000000004</v>
      </c>
      <c r="V4446" s="2">
        <f>T4446+U4446</f>
        <v>1.8204</v>
      </c>
      <c r="W4446" s="2">
        <v>1.48</v>
      </c>
      <c r="X4446" s="5">
        <f>(T4446-W4446)/T4446</f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>T4446-W4446</f>
        <v>0</v>
      </c>
      <c r="AL4446" s="5">
        <f>(T4446-W4446)/T4446</f>
        <v>0</v>
      </c>
    </row>
    <row r="4447" spans="1:38" x14ac:dyDescent="0.2">
      <c r="A4447" s="2">
        <v>2026</v>
      </c>
      <c r="B4447" s="2">
        <v>7</v>
      </c>
      <c r="C4447" s="2" t="s">
        <v>3429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>T4447*23%</f>
        <v>4.83</v>
      </c>
      <c r="V4447" s="2">
        <f>T4447+U4447</f>
        <v>25.83</v>
      </c>
      <c r="W4447" s="2">
        <f>14.4*S4447</f>
        <v>14.4</v>
      </c>
      <c r="X4447" s="5">
        <f>(T4447-W4447)/T4447</f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>T4447-W4447</f>
        <v>6.6</v>
      </c>
      <c r="AL4447" s="5">
        <f>(T4447-W4447)/T4447</f>
        <v>0.31428571428571428</v>
      </c>
    </row>
    <row r="4448" spans="1:38" x14ac:dyDescent="0.2">
      <c r="A4448" s="2">
        <v>2026</v>
      </c>
      <c r="B4448" s="2">
        <v>7</v>
      </c>
      <c r="C4448" s="2" t="s">
        <v>3429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>T4448*23%</f>
        <v>8.2800000000000011</v>
      </c>
      <c r="V4448" s="2">
        <f>T4448+U4448</f>
        <v>44.28</v>
      </c>
      <c r="W4448" s="2">
        <f>10.6*S4448</f>
        <v>21.2</v>
      </c>
      <c r="X4448" s="5">
        <f>(T4448-W4448)/T4448</f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>T4448-W4448</f>
        <v>14.8</v>
      </c>
      <c r="AL4448" s="5">
        <f>(T4448-W4448)/T4448</f>
        <v>0.41111111111111115</v>
      </c>
    </row>
    <row r="4449" spans="1:38" x14ac:dyDescent="0.2">
      <c r="A4449" s="2">
        <v>2026</v>
      </c>
      <c r="B4449" s="2">
        <v>7</v>
      </c>
      <c r="C4449" s="2" t="s">
        <v>3429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>T4449*23%</f>
        <v>1.84</v>
      </c>
      <c r="V4449" s="2">
        <f>T4449+U4449</f>
        <v>9.84</v>
      </c>
      <c r="X4449" s="5">
        <f>(T4449-W4449)/T4449</f>
        <v>1</v>
      </c>
      <c r="Z4449" s="2" t="s">
        <v>170</v>
      </c>
      <c r="AA4449" s="2" t="s">
        <v>170</v>
      </c>
      <c r="AK4449" s="2">
        <f>T4449-W4449</f>
        <v>8</v>
      </c>
      <c r="AL4449" s="5">
        <f>(T4449-W4449)/T4449</f>
        <v>1</v>
      </c>
    </row>
    <row r="4450" spans="1:38" x14ac:dyDescent="0.2">
      <c r="A4450" s="2">
        <v>2026</v>
      </c>
      <c r="B4450" s="2">
        <v>7</v>
      </c>
      <c r="C4450" s="2" t="s">
        <v>3429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>T4450*23%</f>
        <v>92</v>
      </c>
      <c r="V4450" s="2">
        <f>T4450+U4450</f>
        <v>492</v>
      </c>
      <c r="W4450" s="2">
        <f>14.5099*S4450</f>
        <v>290.19799999999998</v>
      </c>
      <c r="X4450" s="5">
        <f>(T4450-W4450)/T4450</f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>T4450-W4450</f>
        <v>109.80200000000002</v>
      </c>
      <c r="AL4450" s="5">
        <f>(T4450-W4450)/T4450</f>
        <v>0.27450500000000005</v>
      </c>
    </row>
    <row r="4451" spans="1:38" x14ac:dyDescent="0.2">
      <c r="A4451" s="2">
        <v>2026</v>
      </c>
      <c r="B4451" s="2">
        <v>7</v>
      </c>
      <c r="C4451" s="2" t="s">
        <v>3429</v>
      </c>
      <c r="D4451" s="2" t="s">
        <v>440</v>
      </c>
      <c r="E4451" s="2" t="s">
        <v>38</v>
      </c>
      <c r="F4451" s="2" t="s">
        <v>39</v>
      </c>
      <c r="L4451" s="2" t="s">
        <v>178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>T4451*23%</f>
        <v>11.96</v>
      </c>
      <c r="V4451" s="2">
        <f>T4451+U4451</f>
        <v>63.96</v>
      </c>
      <c r="W4451" s="2">
        <f>6.6267*S4451</f>
        <v>26.506799999999998</v>
      </c>
      <c r="X4451" s="5">
        <f>(T4451-W4451)/T4451</f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>T4451-W4451</f>
        <v>25.493200000000002</v>
      </c>
      <c r="AL4451" s="5">
        <f>(T4451-W4451)/T4451</f>
        <v>0.49025384615384621</v>
      </c>
    </row>
    <row r="4452" spans="1:38" x14ac:dyDescent="0.2">
      <c r="A4452" s="2">
        <v>2026</v>
      </c>
      <c r="B4452" s="2">
        <v>7</v>
      </c>
      <c r="C4452" s="2" t="s">
        <v>3429</v>
      </c>
      <c r="D4452" s="2" t="s">
        <v>440</v>
      </c>
      <c r="E4452" s="2" t="s">
        <v>38</v>
      </c>
      <c r="F4452" s="2" t="s">
        <v>39</v>
      </c>
      <c r="L4452" s="2" t="s">
        <v>178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>T4452*23%</f>
        <v>4.83</v>
      </c>
      <c r="V4452" s="2">
        <f>T4452+U4452</f>
        <v>25.83</v>
      </c>
      <c r="W4452" s="2">
        <f>14.4*S4452</f>
        <v>14.4</v>
      </c>
      <c r="X4452" s="5">
        <f>(T4452-W4452)/T4452</f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>T4452-W4452</f>
        <v>6.6</v>
      </c>
      <c r="AL4452" s="5">
        <f>(T4452-W4452)/T4452</f>
        <v>0.31428571428571428</v>
      </c>
    </row>
    <row r="4453" spans="1:38" x14ac:dyDescent="0.2">
      <c r="A4453" s="2">
        <v>2026</v>
      </c>
      <c r="B4453" s="2">
        <v>7</v>
      </c>
      <c r="C4453" s="2" t="s">
        <v>3429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3431</v>
      </c>
      <c r="R4453" s="2" t="s">
        <v>3432</v>
      </c>
      <c r="S4453" s="13">
        <v>1</v>
      </c>
      <c r="T4453" s="14">
        <v>287</v>
      </c>
      <c r="U4453" s="2">
        <f>T4453*23%</f>
        <v>66.010000000000005</v>
      </c>
      <c r="V4453" s="2">
        <f>T4453+U4453</f>
        <v>353.01</v>
      </c>
      <c r="W4453" s="2">
        <v>157.85</v>
      </c>
      <c r="X4453" s="5">
        <f>(T4453-W4453)/T4453</f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>T4453-W4453</f>
        <v>129.15</v>
      </c>
      <c r="AL4453" s="5">
        <f>(T4453-W4453)/T4453</f>
        <v>0.45</v>
      </c>
    </row>
    <row r="4454" spans="1:38" x14ac:dyDescent="0.2">
      <c r="A4454" s="2">
        <v>2026</v>
      </c>
      <c r="B4454" s="2">
        <v>7</v>
      </c>
      <c r="C4454" s="2" t="s">
        <v>3429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>T4454*23%</f>
        <v>0.34040000000000004</v>
      </c>
      <c r="V4454" s="2">
        <f>T4454+U4454</f>
        <v>1.8204</v>
      </c>
      <c r="W4454" s="2">
        <v>1.48</v>
      </c>
      <c r="X4454" s="5">
        <f>(T4454-W4454)/T4454</f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>T4454-W4454</f>
        <v>0</v>
      </c>
      <c r="AL4454" s="5">
        <f>(T4454-W4454)/T4454</f>
        <v>0</v>
      </c>
    </row>
    <row r="4455" spans="1:38" x14ac:dyDescent="0.2">
      <c r="A4455" s="2">
        <v>2026</v>
      </c>
      <c r="B4455" s="2">
        <v>7</v>
      </c>
      <c r="C4455" s="2" t="s">
        <v>3429</v>
      </c>
      <c r="D4455" s="2" t="s">
        <v>2147</v>
      </c>
      <c r="E4455" s="2" t="s">
        <v>109</v>
      </c>
      <c r="F4455" s="2" t="s">
        <v>39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3433</v>
      </c>
      <c r="R4455" s="2" t="s">
        <v>3434</v>
      </c>
      <c r="S4455" s="13">
        <v>1</v>
      </c>
      <c r="T4455" s="14">
        <v>390</v>
      </c>
      <c r="U4455" s="2">
        <f>T4455*23%</f>
        <v>89.7</v>
      </c>
      <c r="V4455" s="2">
        <f>T4455+U4455</f>
        <v>479.7</v>
      </c>
      <c r="W4455" s="2">
        <v>217</v>
      </c>
      <c r="X4455" s="5">
        <f>(T4455-W4455)/T4455</f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>T4455-W4455</f>
        <v>173</v>
      </c>
      <c r="AL4455" s="5">
        <f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3429</v>
      </c>
      <c r="D4456" s="2" t="s">
        <v>2147</v>
      </c>
      <c r="E4456" s="2" t="s">
        <v>109</v>
      </c>
      <c r="F4456" s="2" t="s">
        <v>39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>T4456*23%</f>
        <v>3.45</v>
      </c>
      <c r="V4456" s="2">
        <f>T4456+U4456</f>
        <v>18.45</v>
      </c>
      <c r="W4456" s="2">
        <v>28</v>
      </c>
      <c r="X4456" s="5">
        <f>(T4456-W4456)/T4456</f>
        <v>-0.8666666666666667</v>
      </c>
      <c r="Z4456" s="2" t="s">
        <v>170</v>
      </c>
      <c r="AA4456" s="2" t="s">
        <v>170</v>
      </c>
      <c r="AK4456" s="2">
        <f>T4456-W4456</f>
        <v>-13</v>
      </c>
      <c r="AL4456" s="5">
        <f>(T4456-W4456)/T4456</f>
        <v>-0.8666666666666667</v>
      </c>
    </row>
    <row r="4457" spans="1:38" x14ac:dyDescent="0.2">
      <c r="A4457" s="2">
        <v>2026</v>
      </c>
      <c r="B4457" s="2">
        <v>7</v>
      </c>
      <c r="C4457" s="2" t="s">
        <v>3429</v>
      </c>
      <c r="D4457" s="2" t="s">
        <v>2147</v>
      </c>
      <c r="E4457" s="2" t="s">
        <v>109</v>
      </c>
      <c r="F4457" s="2" t="s">
        <v>39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>T4457*23%</f>
        <v>0.34040000000000004</v>
      </c>
      <c r="V4457" s="2">
        <f>T4457+U4457</f>
        <v>1.8204</v>
      </c>
      <c r="W4457" s="2">
        <v>1.48</v>
      </c>
      <c r="X4457" s="5">
        <f>(T4457-W4457)/T4457</f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>T4457-W4457</f>
        <v>0</v>
      </c>
      <c r="AL4457" s="5">
        <f>(T4457-W4457)/T4457</f>
        <v>0</v>
      </c>
    </row>
    <row r="4458" spans="1:38" x14ac:dyDescent="0.2">
      <c r="A4458" s="2">
        <v>2026</v>
      </c>
      <c r="B4458" s="2">
        <v>7</v>
      </c>
      <c r="C4458" s="2" t="s">
        <v>3429</v>
      </c>
      <c r="D4458" s="2" t="s">
        <v>2563</v>
      </c>
      <c r="E4458" s="2" t="s">
        <v>109</v>
      </c>
      <c r="F4458" s="2" t="s">
        <v>39</v>
      </c>
      <c r="L4458" s="2" t="s">
        <v>100</v>
      </c>
      <c r="M4458" s="2" t="s">
        <v>81</v>
      </c>
      <c r="P4458" s="2" t="s">
        <v>1040</v>
      </c>
      <c r="Q4458" s="2" t="s">
        <v>3435</v>
      </c>
      <c r="R4458" s="2" t="s">
        <v>3436</v>
      </c>
      <c r="S4458" s="13">
        <v>4</v>
      </c>
      <c r="T4458" s="14">
        <v>569.1</v>
      </c>
      <c r="U4458" s="2">
        <f>T4458*23%</f>
        <v>130.893</v>
      </c>
      <c r="V4458" s="2">
        <f>T4458+U4458</f>
        <v>699.99300000000005</v>
      </c>
      <c r="W4458" s="2">
        <f>86.81*S4458</f>
        <v>347.24</v>
      </c>
      <c r="X4458" s="5">
        <f>(T4458-W4458)/T4458</f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>T4458-W4458</f>
        <v>221.86</v>
      </c>
      <c r="AL4458" s="5">
        <f>(T4458-W4458)/T4458</f>
        <v>0.38984361272184154</v>
      </c>
    </row>
    <row r="4459" spans="1:38" x14ac:dyDescent="0.2">
      <c r="A4459" s="2">
        <v>2026</v>
      </c>
      <c r="B4459" s="2">
        <v>7</v>
      </c>
      <c r="C4459" s="2" t="s">
        <v>3429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>T4459*23%</f>
        <v>111.55000000000001</v>
      </c>
      <c r="V4459" s="2">
        <f>T4459+U4459</f>
        <v>596.54999999999995</v>
      </c>
      <c r="W4459" s="2">
        <f>150.9766*S4459</f>
        <v>301.95319999999998</v>
      </c>
      <c r="X4459" s="5">
        <f>(T4459-W4459)/T4459</f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>T4459-W4459</f>
        <v>183.04680000000002</v>
      </c>
      <c r="AL4459" s="5">
        <f>(T4459-W4459)/T4459</f>
        <v>0.37741608247422687</v>
      </c>
    </row>
    <row r="4460" spans="1:38" x14ac:dyDescent="0.2">
      <c r="A4460" s="2">
        <v>2026</v>
      </c>
      <c r="B4460" s="2">
        <v>7</v>
      </c>
      <c r="C4460" s="2" t="s">
        <v>3429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3437</v>
      </c>
      <c r="R4460" s="2" t="s">
        <v>3438</v>
      </c>
      <c r="S4460" s="13">
        <v>1</v>
      </c>
      <c r="T4460" s="14">
        <v>232.8</v>
      </c>
      <c r="U4460" s="2">
        <f>T4460*23%</f>
        <v>53.544000000000004</v>
      </c>
      <c r="V4460" s="2">
        <f>T4460+U4460</f>
        <v>286.34399999999999</v>
      </c>
      <c r="W4460" s="2">
        <v>128.99</v>
      </c>
      <c r="X4460" s="5">
        <f>(T4460-W4460)/T4460</f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>T4460-W4460</f>
        <v>103.81</v>
      </c>
      <c r="AL4460" s="5">
        <f>(T4460-W4460)/T4460</f>
        <v>0.44591924398625427</v>
      </c>
    </row>
    <row r="4461" spans="1:38" x14ac:dyDescent="0.2">
      <c r="A4461" s="2">
        <v>2026</v>
      </c>
      <c r="B4461" s="2">
        <v>7</v>
      </c>
      <c r="C4461" s="2" t="s">
        <v>3429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>T4461*23%</f>
        <v>1.0212000000000001</v>
      </c>
      <c r="V4461" s="2">
        <f>T4461+U4461</f>
        <v>5.4612000000000007</v>
      </c>
      <c r="W4461" s="2">
        <f>1.48*S4461</f>
        <v>4.4399999999999995</v>
      </c>
      <c r="X4461" s="5">
        <f>(T4461-W4461)/T4461</f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>T4461-W4461</f>
        <v>0</v>
      </c>
      <c r="AL4461" s="5">
        <f>(T4461-W4461)/T4461</f>
        <v>2.000401846171453E-16</v>
      </c>
    </row>
    <row r="4462" spans="1:38" x14ac:dyDescent="0.2">
      <c r="A4462" s="2">
        <v>2026</v>
      </c>
      <c r="B4462" s="2">
        <v>7</v>
      </c>
      <c r="C4462" s="2" t="s">
        <v>3429</v>
      </c>
      <c r="D4462" s="2" t="s">
        <v>2368</v>
      </c>
      <c r="E4462" s="2" t="s">
        <v>109</v>
      </c>
      <c r="F4462" s="2" t="s">
        <v>39</v>
      </c>
      <c r="L4462" s="2" t="s">
        <v>419</v>
      </c>
      <c r="M4462" s="2" t="s">
        <v>41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>T4462*23%</f>
        <v>11.96</v>
      </c>
      <c r="V4462" s="2">
        <f>T4462+U4462</f>
        <v>63.96</v>
      </c>
      <c r="W4462" s="2">
        <f>6.6267*S4462</f>
        <v>26.506799999999998</v>
      </c>
      <c r="X4462" s="5">
        <f>(T4462-W4462)/T4462</f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>T4462-W4462</f>
        <v>25.493200000000002</v>
      </c>
      <c r="AL4462" s="5">
        <f>(T4462-W4462)/T4462</f>
        <v>0.49025384615384621</v>
      </c>
    </row>
    <row r="4463" spans="1:38" x14ac:dyDescent="0.2">
      <c r="A4463" s="2">
        <v>2026</v>
      </c>
      <c r="B4463" s="2">
        <v>7</v>
      </c>
      <c r="C4463" s="2" t="s">
        <v>3429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>T4463*23%</f>
        <v>4.1400000000000006</v>
      </c>
      <c r="V4463" s="12">
        <f>T4463+U4463</f>
        <v>22.14</v>
      </c>
      <c r="W4463" s="2">
        <f>10.6*S4463</f>
        <v>10.6</v>
      </c>
      <c r="X4463" s="5">
        <f>(T4463-W4463)/T4463</f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>T4463-W4463</f>
        <v>7.4</v>
      </c>
      <c r="AL4463" s="5">
        <f>(T4463-W4463)/T4463</f>
        <v>0.41111111111111115</v>
      </c>
    </row>
    <row r="4464" spans="1:38" x14ac:dyDescent="0.2">
      <c r="A4464" s="2">
        <v>2026</v>
      </c>
      <c r="B4464" s="2">
        <v>7</v>
      </c>
      <c r="C4464" s="2" t="s">
        <v>3429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>T4464*23%</f>
        <v>3.22</v>
      </c>
      <c r="V4464" s="12">
        <f>T4464+U4464</f>
        <v>17.22</v>
      </c>
      <c r="W4464" s="2">
        <f>0.0914*S4464</f>
        <v>9.1399999999999988</v>
      </c>
      <c r="X4464" s="5">
        <f>(T4464-W4464)/T4464</f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>T4464-W4464</f>
        <v>4.8600000000000012</v>
      </c>
      <c r="AL4464" s="5">
        <f>(T4464-W4464)/T4464</f>
        <v>0.34714285714285725</v>
      </c>
    </row>
    <row r="4465" spans="1:38" x14ac:dyDescent="0.2">
      <c r="A4465" s="2">
        <v>2026</v>
      </c>
      <c r="B4465" s="2">
        <v>7</v>
      </c>
      <c r="C4465" s="2" t="s">
        <v>3429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>T4465*23%</f>
        <v>33.35</v>
      </c>
      <c r="V4465" s="12">
        <f>T4465+U4465</f>
        <v>178.35</v>
      </c>
      <c r="W4465" s="2">
        <f>14.5099*S4465</f>
        <v>72.549499999999995</v>
      </c>
      <c r="X4465" s="5">
        <f>(T4465-W4465)/T4465</f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>T4465-W4465</f>
        <v>72.450500000000005</v>
      </c>
      <c r="AL4465" s="5">
        <f>(T4465-W4465)/T4465</f>
        <v>0.49965862068965522</v>
      </c>
    </row>
    <row r="4466" spans="1:38" x14ac:dyDescent="0.2">
      <c r="A4466" s="2">
        <v>2026</v>
      </c>
      <c r="B4466" s="2">
        <v>7</v>
      </c>
      <c r="C4466" s="2" t="s">
        <v>3429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>T4466*23%</f>
        <v>5.6097000000000001</v>
      </c>
      <c r="V4466" s="12">
        <f>T4466+U4466</f>
        <v>29.999700000000001</v>
      </c>
      <c r="W4466" s="2">
        <f>11.2466</f>
        <v>11.246600000000001</v>
      </c>
      <c r="X4466" s="5">
        <f>(T4466-W4466)/T4466</f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>T4466-W4466</f>
        <v>13.1434</v>
      </c>
      <c r="AL4466" s="5">
        <f>(T4466-W4466)/T4466</f>
        <v>0.53888478884788849</v>
      </c>
    </row>
    <row r="4467" spans="1:38" x14ac:dyDescent="0.2">
      <c r="A4467" s="2">
        <v>2026</v>
      </c>
      <c r="B4467" s="2">
        <v>7</v>
      </c>
      <c r="C4467" s="2" t="s">
        <v>3429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>T4467*23%</f>
        <v>1.84</v>
      </c>
      <c r="V4467" s="12">
        <f>T4467+U4467</f>
        <v>9.84</v>
      </c>
      <c r="X4467" s="5">
        <f>(T4467-W4467)/T4467</f>
        <v>1</v>
      </c>
      <c r="Z4467" s="2" t="s">
        <v>170</v>
      </c>
      <c r="AA4467" s="2" t="s">
        <v>170</v>
      </c>
      <c r="AK4467" s="2">
        <f>T4467-W4467</f>
        <v>8</v>
      </c>
      <c r="AL4467" s="5">
        <f>(T4467-W4467)/T4467</f>
        <v>1</v>
      </c>
    </row>
    <row r="4468" spans="1:38" x14ac:dyDescent="0.2">
      <c r="A4468" s="2">
        <v>2026</v>
      </c>
      <c r="B4468" s="2">
        <v>7</v>
      </c>
      <c r="C4468" s="2" t="s">
        <v>3429</v>
      </c>
      <c r="D4468" s="2" t="s">
        <v>37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>T4468*23%</f>
        <v>56.695</v>
      </c>
      <c r="V4468" s="12">
        <f>T4468+U4468</f>
        <v>303.19499999999999</v>
      </c>
      <c r="W4468" s="2">
        <v>133.4614</v>
      </c>
      <c r="X4468" s="5">
        <f>(T4468-W4468)/T4468</f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>T4468-W4468</f>
        <v>113.0386</v>
      </c>
      <c r="AL4468" s="5">
        <f>(T4468-W4468)/T4468</f>
        <v>0.4585744421906694</v>
      </c>
    </row>
    <row r="4469" spans="1:38" x14ac:dyDescent="0.2">
      <c r="A4469" s="2">
        <v>2026</v>
      </c>
      <c r="B4469" s="2">
        <v>7</v>
      </c>
      <c r="C4469" s="2" t="s">
        <v>3429</v>
      </c>
      <c r="D4469" s="2" t="s">
        <v>37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>T4469*23%</f>
        <v>0.34040000000000004</v>
      </c>
      <c r="V4469" s="12">
        <f>T4469+U4469</f>
        <v>1.8204</v>
      </c>
      <c r="W4469" s="2">
        <v>1.48</v>
      </c>
      <c r="X4469" s="5">
        <f>(T4469-W4469)/T4469</f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>T4469-W4469</f>
        <v>0</v>
      </c>
      <c r="AL4469" s="5">
        <f>(T4469-W4469)/T4469</f>
        <v>0</v>
      </c>
    </row>
    <row r="4470" spans="1:38" x14ac:dyDescent="0.2">
      <c r="A4470" s="2">
        <v>2026</v>
      </c>
      <c r="B4470" s="2">
        <v>7</v>
      </c>
      <c r="C4470" s="2" t="s">
        <v>3429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>T4470*23%</f>
        <v>8.2800000000000011</v>
      </c>
      <c r="V4470" s="12">
        <f>T4470+U4470</f>
        <v>44.28</v>
      </c>
      <c r="W4470" s="2">
        <f>0.8561*S4470</f>
        <v>17.122</v>
      </c>
      <c r="X4470" s="5">
        <f>(T4470-W4470)/T4470</f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>T4470-W4470</f>
        <v>18.878</v>
      </c>
      <c r="AL4470" s="5">
        <f>(T4470-W4470)/T4470</f>
        <v>0.5243888888888889</v>
      </c>
    </row>
    <row r="4471" spans="1:38" x14ac:dyDescent="0.2">
      <c r="A4471" s="2">
        <v>2026</v>
      </c>
      <c r="B4471" s="2">
        <v>7</v>
      </c>
      <c r="C4471" s="2" t="s">
        <v>3429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>T4471*23%</f>
        <v>136.85</v>
      </c>
      <c r="V4471" s="12">
        <f>T4471+U4471</f>
        <v>731.85</v>
      </c>
      <c r="W4471" s="2">
        <v>297</v>
      </c>
      <c r="X4471" s="5">
        <f>(T4471-W4471)/T4471</f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>T4471-W4471</f>
        <v>298</v>
      </c>
      <c r="AL4471" s="5">
        <f>(T4471-W4471)/T4471</f>
        <v>0.50084033613445378</v>
      </c>
    </row>
    <row r="4472" spans="1:38" x14ac:dyDescent="0.2">
      <c r="A4472" s="2">
        <v>2026</v>
      </c>
      <c r="B4472" s="2">
        <v>7</v>
      </c>
      <c r="C4472" s="2" t="s">
        <v>3429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>T4472*23%</f>
        <v>0</v>
      </c>
      <c r="V4472" s="12">
        <f>T4472+U4472</f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>T4472-W4472</f>
        <v>-14.5099</v>
      </c>
    </row>
    <row r="4473" spans="1:38" x14ac:dyDescent="0.2">
      <c r="A4473" s="2">
        <v>2026</v>
      </c>
      <c r="B4473" s="2">
        <v>7</v>
      </c>
      <c r="C4473" s="2" t="s">
        <v>3429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>T4473*23%</f>
        <v>52.900000000000006</v>
      </c>
      <c r="V4473" s="12">
        <f>T4473+U4473</f>
        <v>282.89999999999998</v>
      </c>
      <c r="W4473" s="2">
        <v>122.446</v>
      </c>
      <c r="X4473" s="5">
        <f>(T4473-W4473)/T4473</f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>T4473-W4473</f>
        <v>107.554</v>
      </c>
      <c r="AL4473" s="5">
        <f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3429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>T4474*23%</f>
        <v>0.34040000000000004</v>
      </c>
      <c r="V4474" s="12">
        <f>T4474+U4474</f>
        <v>1.8204</v>
      </c>
      <c r="W4474" s="2">
        <v>1.48</v>
      </c>
      <c r="X4474" s="5">
        <f>(T4474-W4474)/T4474</f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>T4474-W4474</f>
        <v>0</v>
      </c>
      <c r="AL4474" s="5">
        <f>(T4474-W4474)/T4474</f>
        <v>0</v>
      </c>
    </row>
    <row r="4475" spans="1:38" x14ac:dyDescent="0.2">
      <c r="A4475" s="2">
        <v>2026</v>
      </c>
      <c r="B4475" s="2">
        <v>7</v>
      </c>
      <c r="C4475" s="2" t="s">
        <v>3429</v>
      </c>
      <c r="D4475" s="2" t="s">
        <v>3470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>T4475*23%</f>
        <v>3447.7000000000003</v>
      </c>
      <c r="V4475" s="12">
        <f>T4475+U4475</f>
        <v>18437.7</v>
      </c>
      <c r="W4475" s="2">
        <f>10699.41+285.74</f>
        <v>10985.15</v>
      </c>
      <c r="X4475" s="5">
        <f>(T4475-W4475)/T4475</f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>T4475-W4475</f>
        <v>4004.8500000000004</v>
      </c>
      <c r="AL4475" s="5">
        <f>(T4475-W4475)/T4475</f>
        <v>0.26716811207471652</v>
      </c>
    </row>
    <row r="4476" spans="1:38" x14ac:dyDescent="0.2">
      <c r="A4476" s="2">
        <v>2026</v>
      </c>
      <c r="B4476" s="2">
        <v>7</v>
      </c>
      <c r="C4476" s="2" t="s">
        <v>3429</v>
      </c>
      <c r="D4476" s="2" t="s">
        <v>3467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3468</v>
      </c>
      <c r="R4476" s="2" t="s">
        <v>3469</v>
      </c>
      <c r="S4476" s="13">
        <v>1</v>
      </c>
      <c r="T4476" s="14">
        <v>1500</v>
      </c>
      <c r="U4476" s="2">
        <f>T4476*23%</f>
        <v>345</v>
      </c>
      <c r="V4476" s="12">
        <f>T4476+U4476</f>
        <v>1845</v>
      </c>
      <c r="W4476" s="2">
        <f>T4476*75%</f>
        <v>1125</v>
      </c>
      <c r="X4476" s="5">
        <f>(T4476-W4476)/T4476</f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>T4476-W4476</f>
        <v>375</v>
      </c>
      <c r="AL4476" s="5">
        <f>(T4476-W4476)/T4476</f>
        <v>0.25</v>
      </c>
    </row>
    <row r="4477" spans="1:38" x14ac:dyDescent="0.2">
      <c r="A4477" s="2">
        <v>2026</v>
      </c>
      <c r="B4477" s="2">
        <v>7</v>
      </c>
      <c r="C4477" s="2" t="s">
        <v>3300</v>
      </c>
      <c r="D4477" s="2" t="s">
        <v>37</v>
      </c>
      <c r="E4477" s="2" t="s">
        <v>38</v>
      </c>
      <c r="F4477" s="2" t="s">
        <v>39</v>
      </c>
      <c r="L4477" s="2" t="s">
        <v>3274</v>
      </c>
      <c r="M4477" s="2" t="s">
        <v>81</v>
      </c>
      <c r="P4477" s="2" t="s">
        <v>43</v>
      </c>
      <c r="Q4477" s="2" t="s">
        <v>49</v>
      </c>
      <c r="R4477" s="2" t="s">
        <v>50</v>
      </c>
      <c r="S4477" s="13">
        <v>2</v>
      </c>
      <c r="T4477" s="2">
        <f>9*S4477</f>
        <v>18</v>
      </c>
      <c r="U4477" s="2">
        <f>T4477*23%</f>
        <v>4.1400000000000006</v>
      </c>
      <c r="V4477" s="2">
        <f>T4477+U4477</f>
        <v>22.14</v>
      </c>
      <c r="W4477" s="2">
        <f>6.6267*S4477</f>
        <v>13.253399999999999</v>
      </c>
      <c r="X4477" s="5">
        <f>(T4477-W4477)/T4477</f>
        <v>0.26370000000000005</v>
      </c>
      <c r="Z4477" s="2" t="s">
        <v>3231</v>
      </c>
      <c r="AA4477" s="2" t="s">
        <v>46</v>
      </c>
      <c r="AB4477" s="2" t="s">
        <v>47</v>
      </c>
      <c r="AC4477" s="2" t="s">
        <v>48</v>
      </c>
      <c r="AK4477" s="2">
        <f>T4477-W4477</f>
        <v>4.7466000000000008</v>
      </c>
      <c r="AL4477" s="5">
        <f>(T4477-W4477)/T4477</f>
        <v>0.26370000000000005</v>
      </c>
    </row>
    <row r="4478" spans="1:38" x14ac:dyDescent="0.2">
      <c r="A4478" s="2">
        <v>2026</v>
      </c>
      <c r="B4478" s="2">
        <v>7</v>
      </c>
      <c r="C4478" s="2" t="s">
        <v>3300</v>
      </c>
      <c r="D4478" s="2" t="s">
        <v>37</v>
      </c>
      <c r="E4478" s="2" t="s">
        <v>38</v>
      </c>
      <c r="F4478" s="2" t="s">
        <v>39</v>
      </c>
      <c r="L4478" s="2" t="s">
        <v>3274</v>
      </c>
      <c r="M4478" s="2" t="s">
        <v>81</v>
      </c>
      <c r="P4478" s="2" t="s">
        <v>43</v>
      </c>
      <c r="Q4478" s="2" t="s">
        <v>55</v>
      </c>
      <c r="R4478" s="2" t="s">
        <v>56</v>
      </c>
      <c r="S4478" s="13">
        <v>3</v>
      </c>
      <c r="T4478" s="2">
        <f>12.75*S4478</f>
        <v>38.25</v>
      </c>
      <c r="U4478" s="2">
        <f>T4478*23%</f>
        <v>8.7975000000000012</v>
      </c>
      <c r="V4478" s="2">
        <f>T4478+U4478</f>
        <v>47.047499999999999</v>
      </c>
      <c r="W4478" s="2">
        <f>10.6*S4478</f>
        <v>31.799999999999997</v>
      </c>
      <c r="X4478" s="5">
        <f>(T4478-W4478)/T4478</f>
        <v>0.16862745098039222</v>
      </c>
      <c r="Z4478" s="2" t="s">
        <v>3231</v>
      </c>
      <c r="AA4478" s="2" t="s">
        <v>46</v>
      </c>
      <c r="AB4478" s="2" t="s">
        <v>57</v>
      </c>
      <c r="AC4478" s="2" t="s">
        <v>58</v>
      </c>
      <c r="AK4478" s="2">
        <f>T4478-W4478</f>
        <v>6.4500000000000028</v>
      </c>
      <c r="AL4478" s="5">
        <f>(T4478-W4478)/T4478</f>
        <v>0.16862745098039222</v>
      </c>
    </row>
    <row r="4479" spans="1:38" x14ac:dyDescent="0.2">
      <c r="A4479" s="2">
        <v>2026</v>
      </c>
      <c r="B4479" s="2">
        <v>7</v>
      </c>
      <c r="C4479" s="2" t="s">
        <v>3300</v>
      </c>
      <c r="D4479" s="2" t="s">
        <v>37</v>
      </c>
      <c r="E4479" s="2" t="s">
        <v>38</v>
      </c>
      <c r="F4479" s="2" t="s">
        <v>39</v>
      </c>
      <c r="L4479" s="2" t="s">
        <v>3274</v>
      </c>
      <c r="M4479" s="2" t="s">
        <v>81</v>
      </c>
      <c r="P4479" s="2" t="s">
        <v>85</v>
      </c>
      <c r="Q4479" s="6" t="s">
        <v>277</v>
      </c>
      <c r="R4479" s="2" t="s">
        <v>278</v>
      </c>
      <c r="S4479" s="8">
        <v>1</v>
      </c>
      <c r="T4479" s="2">
        <v>6</v>
      </c>
      <c r="U4479" s="2">
        <f>T4479*23%</f>
        <v>1.3800000000000001</v>
      </c>
      <c r="V4479" s="2">
        <f>T4479+U4479</f>
        <v>7.38</v>
      </c>
      <c r="W4479" s="2">
        <v>2.5051000000000001</v>
      </c>
      <c r="X4479" s="5">
        <f>(T4479-W4479)/T4479</f>
        <v>0.58248333333333335</v>
      </c>
      <c r="Z4479" s="2" t="s">
        <v>3231</v>
      </c>
      <c r="AA4479" s="2" t="s">
        <v>88</v>
      </c>
      <c r="AB4479" s="2" t="s">
        <v>91</v>
      </c>
      <c r="AC4479" s="2" t="s">
        <v>85</v>
      </c>
      <c r="AK4479" s="2">
        <f>T4479-W4479</f>
        <v>3.4948999999999999</v>
      </c>
      <c r="AL4479" s="5">
        <f>(T4479-W4479)/T4479</f>
        <v>0.58248333333333335</v>
      </c>
    </row>
    <row r="4480" spans="1:38" x14ac:dyDescent="0.2">
      <c r="A4480" s="2">
        <v>2026</v>
      </c>
      <c r="B4480" s="2">
        <v>6</v>
      </c>
      <c r="C4480" s="2" t="s">
        <v>3298</v>
      </c>
      <c r="D4480" s="2" t="s">
        <v>3104</v>
      </c>
      <c r="E4480" s="2" t="s">
        <v>38</v>
      </c>
      <c r="F4480" s="2" t="s">
        <v>39</v>
      </c>
      <c r="H4480" s="2" t="s">
        <v>110</v>
      </c>
      <c r="I4480" s="2" t="s">
        <v>3288</v>
      </c>
      <c r="L4480" s="2" t="s">
        <v>134</v>
      </c>
      <c r="M4480" s="2" t="s">
        <v>110</v>
      </c>
      <c r="P4480" s="2" t="s">
        <v>115</v>
      </c>
      <c r="Q4480" s="16" t="s">
        <v>413</v>
      </c>
      <c r="R4480" s="15" t="s">
        <v>414</v>
      </c>
      <c r="S4480" s="13">
        <v>1</v>
      </c>
      <c r="T4480" s="2">
        <v>15000</v>
      </c>
      <c r="U4480" s="2">
        <f>T4480*23%</f>
        <v>3450</v>
      </c>
      <c r="V4480" s="2">
        <f>T4480+U4480</f>
        <v>18450</v>
      </c>
      <c r="W4480" s="2">
        <v>10985.15</v>
      </c>
      <c r="X4480" s="5">
        <f>(T4480-W4480)/T4480</f>
        <v>0.26765666666666671</v>
      </c>
      <c r="Z4480" s="2" t="s">
        <v>105</v>
      </c>
      <c r="AA4480" s="2" t="s">
        <v>415</v>
      </c>
      <c r="AB4480" s="2" t="s">
        <v>152</v>
      </c>
      <c r="AC4480" s="2" t="s">
        <v>115</v>
      </c>
      <c r="AK4480" s="2">
        <f>T4480-W4480</f>
        <v>4014.8500000000004</v>
      </c>
      <c r="AL4480" s="5">
        <f>(T4480-W4480)/T4480</f>
        <v>0.26765666666666671</v>
      </c>
    </row>
    <row r="4481" spans="1:38" x14ac:dyDescent="0.2">
      <c r="A4481" s="2">
        <v>2026</v>
      </c>
      <c r="B4481" s="2">
        <v>7</v>
      </c>
      <c r="C4481" s="2" t="s">
        <v>3429</v>
      </c>
      <c r="D4481" s="2" t="s">
        <v>782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783</v>
      </c>
      <c r="J4481" s="2" t="s">
        <v>784</v>
      </c>
      <c r="K4481" s="2">
        <v>917341136</v>
      </c>
      <c r="L4481" s="2" t="s">
        <v>100</v>
      </c>
      <c r="M4481" s="2" t="s">
        <v>81</v>
      </c>
      <c r="P4481" s="2" t="s">
        <v>85</v>
      </c>
      <c r="Q4481" s="29" t="s">
        <v>275</v>
      </c>
      <c r="R4481" s="29" t="s">
        <v>276</v>
      </c>
      <c r="S4481" s="28">
        <v>1</v>
      </c>
      <c r="T4481" s="27">
        <v>6</v>
      </c>
      <c r="U4481" s="2">
        <f>T4481*23%</f>
        <v>1.3800000000000001</v>
      </c>
      <c r="V4481" s="2">
        <f>T4481+U4481</f>
        <v>7.38</v>
      </c>
      <c r="W4481" s="2">
        <v>2.94</v>
      </c>
      <c r="X4481" s="5">
        <f>(T4481-W4481)/T4481</f>
        <v>0.51</v>
      </c>
      <c r="Z4481" s="2" t="s">
        <v>3231</v>
      </c>
      <c r="AA4481" s="2" t="s">
        <v>88</v>
      </c>
      <c r="AB4481" s="2" t="s">
        <v>91</v>
      </c>
      <c r="AC4481" s="2" t="s">
        <v>85</v>
      </c>
      <c r="AK4481" s="2">
        <f>T4481-W4481</f>
        <v>3.06</v>
      </c>
      <c r="AL4481" s="5">
        <f>(T4481-W4481)/T4481</f>
        <v>0.51</v>
      </c>
    </row>
    <row r="4482" spans="1:38" x14ac:dyDescent="0.2">
      <c r="A4482" s="2">
        <v>2026</v>
      </c>
      <c r="B4482" s="2">
        <v>7</v>
      </c>
      <c r="C4482" s="2" t="s">
        <v>3429</v>
      </c>
      <c r="D4482" s="2" t="s">
        <v>782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783</v>
      </c>
      <c r="J4482" s="2" t="s">
        <v>784</v>
      </c>
      <c r="K4482" s="2">
        <v>917341136</v>
      </c>
      <c r="L4482" s="2" t="s">
        <v>100</v>
      </c>
      <c r="M4482" s="2" t="s">
        <v>81</v>
      </c>
      <c r="P4482" s="2" t="s">
        <v>85</v>
      </c>
      <c r="Q4482" s="29" t="s">
        <v>277</v>
      </c>
      <c r="R4482" s="29" t="s">
        <v>278</v>
      </c>
      <c r="S4482" s="28">
        <v>1</v>
      </c>
      <c r="T4482" s="27">
        <v>7.2</v>
      </c>
      <c r="U4482" s="2">
        <f>T4482*23%</f>
        <v>1.6560000000000001</v>
      </c>
      <c r="V4482" s="2">
        <f>T4482+U4482</f>
        <v>8.8559999999999999</v>
      </c>
      <c r="W4482" s="2">
        <v>2.5051000000000001</v>
      </c>
      <c r="X4482" s="5">
        <f>(T4482-W4482)/T4482</f>
        <v>0.65206944444444448</v>
      </c>
      <c r="Z4482" s="2" t="s">
        <v>3231</v>
      </c>
      <c r="AA4482" s="2" t="s">
        <v>88</v>
      </c>
      <c r="AB4482" s="2" t="s">
        <v>91</v>
      </c>
      <c r="AC4482" s="2" t="s">
        <v>85</v>
      </c>
      <c r="AK4482" s="2">
        <f>T4482-W4482</f>
        <v>4.6949000000000005</v>
      </c>
      <c r="AL4482" s="5">
        <f>(T4482-W4482)/T4482</f>
        <v>0.65206944444444448</v>
      </c>
    </row>
    <row r="4483" spans="1:38" x14ac:dyDescent="0.2">
      <c r="A4483" s="2">
        <v>2026</v>
      </c>
      <c r="B4483" s="2">
        <v>7</v>
      </c>
      <c r="C4483" s="2" t="s">
        <v>3429</v>
      </c>
      <c r="D4483" s="29" t="s">
        <v>3113</v>
      </c>
      <c r="E4483" s="2" t="s">
        <v>38</v>
      </c>
      <c r="F4483" s="2" t="s">
        <v>39</v>
      </c>
      <c r="L4483" s="2" t="s">
        <v>100</v>
      </c>
      <c r="M4483" s="2" t="s">
        <v>81</v>
      </c>
      <c r="P4483" s="2" t="s">
        <v>43</v>
      </c>
      <c r="Q4483" s="29" t="s">
        <v>2873</v>
      </c>
      <c r="R4483" s="29" t="s">
        <v>2874</v>
      </c>
      <c r="S4483" s="28">
        <v>1</v>
      </c>
      <c r="T4483" s="2">
        <v>63.6</v>
      </c>
      <c r="U4483" s="2">
        <f>T4483*23%</f>
        <v>14.628</v>
      </c>
      <c r="V4483" s="2">
        <f>T4483+U4483</f>
        <v>78.228000000000009</v>
      </c>
      <c r="W4483" s="2">
        <v>35.78</v>
      </c>
      <c r="X4483" s="5">
        <f>(T4483-W4483)/T4483</f>
        <v>0.43742138364779876</v>
      </c>
      <c r="Z4483" s="2" t="s">
        <v>3231</v>
      </c>
      <c r="AA4483" s="2" t="s">
        <v>46</v>
      </c>
      <c r="AB4483" s="2" t="s">
        <v>91</v>
      </c>
      <c r="AC4483" s="2" t="s">
        <v>58</v>
      </c>
      <c r="AK4483" s="2">
        <f>T4483-W4483</f>
        <v>27.82</v>
      </c>
      <c r="AL4483" s="5">
        <f>(T4483-W4483)/T4483</f>
        <v>0.43742138364779876</v>
      </c>
    </row>
    <row r="4484" spans="1:38" x14ac:dyDescent="0.2">
      <c r="A4484" s="2">
        <v>2026</v>
      </c>
      <c r="B4484" s="2">
        <v>7</v>
      </c>
      <c r="C4484" s="2" t="s">
        <v>3429</v>
      </c>
      <c r="D4484" s="29" t="s">
        <v>3113</v>
      </c>
      <c r="E4484" s="2" t="s">
        <v>38</v>
      </c>
      <c r="F4484" s="2" t="s">
        <v>39</v>
      </c>
      <c r="L4484" s="2" t="s">
        <v>100</v>
      </c>
      <c r="M4484" s="2" t="s">
        <v>81</v>
      </c>
      <c r="P4484" s="2" t="s">
        <v>85</v>
      </c>
      <c r="Q4484" s="29" t="s">
        <v>271</v>
      </c>
      <c r="R4484" s="29" t="s">
        <v>272</v>
      </c>
      <c r="S4484" s="28">
        <v>1</v>
      </c>
      <c r="T4484" s="2">
        <v>12</v>
      </c>
      <c r="U4484" s="2">
        <f t="shared" ref="U4482:U4484" si="6">T4484*23%</f>
        <v>2.7600000000000002</v>
      </c>
      <c r="V4484" s="2">
        <f t="shared" ref="V4482:V4484" si="7">T4484+U4484</f>
        <v>14.76</v>
      </c>
      <c r="W4484" s="2">
        <v>6.86</v>
      </c>
      <c r="X4484" s="5">
        <f t="shared" ref="X4462:X4484" si="8">(T4484-W4484)/T4484</f>
        <v>0.42833333333333329</v>
      </c>
      <c r="Z4484" s="2" t="s">
        <v>3231</v>
      </c>
      <c r="AA4484" s="2" t="s">
        <v>88</v>
      </c>
      <c r="AB4484" s="2" t="s">
        <v>91</v>
      </c>
      <c r="AC4484" s="2" t="s">
        <v>85</v>
      </c>
      <c r="AK4484" s="2">
        <f t="shared" ref="AK4481:AK4486" si="9">T4484-W4484</f>
        <v>5.14</v>
      </c>
      <c r="AL4484" s="5">
        <f t="shared" ref="AL4481:AL4486" si="10">(T4484-W4484)/T4484</f>
        <v>0.42833333333333329</v>
      </c>
    </row>
    <row r="4485" spans="1:38" x14ac:dyDescent="0.2">
      <c r="E4485" s="2" t="s">
        <v>109</v>
      </c>
      <c r="F4485" s="2" t="s">
        <v>39</v>
      </c>
      <c r="L4485" s="2" t="s">
        <v>100</v>
      </c>
      <c r="M4485" s="2" t="s">
        <v>41</v>
      </c>
    </row>
  </sheetData>
  <autoFilter ref="A1:AL4485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2026-07-25T09:24:02Z</dcterms:modified>
</cp:coreProperties>
</file>